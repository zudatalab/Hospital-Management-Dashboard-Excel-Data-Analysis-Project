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Projects\"/>
    </mc:Choice>
  </mc:AlternateContent>
  <xr:revisionPtr revIDLastSave="0" documentId="13_ncr:1_{2D323169-F910-4B94-8898-737B04F7035B}" xr6:coauthVersionLast="47" xr6:coauthVersionMax="47" xr10:uidLastSave="{00000000-0000-0000-0000-000000000000}"/>
  <bookViews>
    <workbookView xWindow="-120" yWindow="-120" windowWidth="19440" windowHeight="14880" tabRatio="776" xr2:uid="{F94CB5C3-3C2B-4911-8368-58FE0600EF83}"/>
  </bookViews>
  <sheets>
    <sheet name="Dashboard" sheetId="2" r:id="rId1"/>
    <sheet name="PR" sheetId="1" r:id="rId2"/>
    <sheet name="Satisfaction Daily Score" sheetId="5" r:id="rId3"/>
    <sheet name="Patient Wait Time" sheetId="4" r:id="rId4"/>
    <sheet name="Daily Report of Patient" sheetId="3" r:id="rId5"/>
    <sheet name="Report" sheetId="6" r:id="rId6"/>
  </sheets>
  <definedNames>
    <definedName name="Slicer_Date__Month">#N/A</definedName>
    <definedName name="Slicer_Date__Year">#N/A</definedName>
  </definedNames>
  <calcPr calcId="191029"/>
  <pivotCaches>
    <pivotCache cacheId="196" r:id="rId7"/>
    <pivotCache cacheId="199" r:id="rId8"/>
    <pivotCache cacheId="202" r:id="rId9"/>
    <pivotCache cacheId="205" r:id="rId10"/>
    <pivotCache cacheId="208" r:id="rId11"/>
    <pivotCache cacheId="211" r:id="rId12"/>
    <pivotCache cacheId="214" r:id="rId13"/>
    <pivotCache cacheId="217" r:id="rId14"/>
    <pivotCache cacheId="220" r:id="rId15"/>
    <pivotCache cacheId="223" r:id="rId16"/>
    <pivotCache cacheId="226" r:id="rId17"/>
    <pivotCache cacheId="229" r:id="rId18"/>
  </pivotCaches>
  <extLst>
    <ext xmlns:x14="http://schemas.microsoft.com/office/spreadsheetml/2009/9/main" uri="{876F7934-8845-4945-9796-88D515C7AA90}">
      <x14:pivotCaches>
        <pivotCache cacheId="12" r:id="rId19"/>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86bd5a1-b701-475e-ade0-bf3cdcca188b" name="Hospital Emergency Room Data" connection="Query - Hospital Emergency Room Data"/>
          <x15:modelTable id="Calendar_Table_1acc2d33-c00a-4408-856e-bffa13a3cde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 l="1"/>
  <c r="E8" i="6"/>
  <c r="C8" i="6"/>
  <c r="D7" i="6"/>
  <c r="E7" i="6"/>
  <c r="C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BC8B32-A24D-42B1-A45F-3019A67A03A5}" name="Query - Calendar_Table" description="Connection to the 'Calendar_Table' query in the workbook." type="100" refreshedVersion="8" minRefreshableVersion="5">
    <extLst>
      <ext xmlns:x15="http://schemas.microsoft.com/office/spreadsheetml/2010/11/main" uri="{DE250136-89BD-433C-8126-D09CA5730AF9}">
        <x15:connection id="448d1977-d935-49f4-b1af-67a16a4269f5"/>
      </ext>
    </extLst>
  </connection>
  <connection id="2" xr16:uid="{566BF6F4-F88F-437E-A4A4-51530FAF559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e75ec9a-1571-44c7-8d20-2daadc2db6e3"/>
      </ext>
    </extLst>
  </connection>
  <connection id="3" xr16:uid="{FD9EE732-0442-4851-BFB6-7BA57D98C7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<sst xmlns="http://schemas.openxmlformats.org/spreadsheetml/2006/main" count="155" uniqueCount="77">
  <si>
    <t>Distinct Count of Patient Id</t>
  </si>
  <si>
    <t>No. of Patients</t>
  </si>
  <si>
    <t>Average of Patient Waittime</t>
  </si>
  <si>
    <t>Average of Patient Satisfaction Score</t>
  </si>
  <si>
    <t>Row Labels</t>
  </si>
  <si>
    <t>Grand Total</t>
  </si>
  <si>
    <t>Showing a Daily trend with an area sparkline to spot patterns like busy day or seasonal trends</t>
  </si>
  <si>
    <t>No. of Patient</t>
  </si>
  <si>
    <t>waiting time</t>
  </si>
  <si>
    <t>Average of Patient Wait Time</t>
  </si>
  <si>
    <t>Use an area chart to track daily changes and highlight days with longer wait times that might need improvements</t>
  </si>
  <si>
    <t>Use an area chart to show trends, spot  drop in satisfaction and link them to busy times of challenges</t>
  </si>
  <si>
    <t>Count of Patient Admission Flag</t>
  </si>
  <si>
    <t>Admitted</t>
  </si>
  <si>
    <t>Not Admitted</t>
  </si>
  <si>
    <t>Count of Patient Admission Flag2</t>
  </si>
  <si>
    <t>Patient</t>
  </si>
  <si>
    <t xml:space="preserve">% of Total </t>
  </si>
  <si>
    <t xml:space="preserve">   Admission Status</t>
  </si>
  <si>
    <t>Count of Age Group</t>
  </si>
  <si>
    <t>10-19</t>
  </si>
  <si>
    <t>20-29</t>
  </si>
  <si>
    <t>30-39</t>
  </si>
  <si>
    <t>40-49</t>
  </si>
  <si>
    <t>50-59</t>
  </si>
  <si>
    <t>60-69</t>
  </si>
  <si>
    <t>70-79</t>
  </si>
  <si>
    <t>0-09</t>
  </si>
  <si>
    <t>Delay</t>
  </si>
  <si>
    <t>OnTime</t>
  </si>
  <si>
    <t>Count of Patient Id</t>
  </si>
  <si>
    <t>Count of Patient Gender</t>
  </si>
  <si>
    <t>Female</t>
  </si>
  <si>
    <t>Male</t>
  </si>
  <si>
    <t>Cardiology</t>
  </si>
  <si>
    <t>Gastroenterology</t>
  </si>
  <si>
    <t>General Practice</t>
  </si>
  <si>
    <t>Neurology</t>
  </si>
  <si>
    <t>None</t>
  </si>
  <si>
    <t>Orthopedics</t>
  </si>
  <si>
    <t>Physiotherapy</t>
  </si>
  <si>
    <t>Renal</t>
  </si>
  <si>
    <t>Count of Department Referral</t>
  </si>
  <si>
    <t>2023</t>
  </si>
  <si>
    <t>2024</t>
  </si>
  <si>
    <t>Count of Date</t>
  </si>
  <si>
    <t>Status Index %</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</si>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</sst>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0"/>
      <color rgb="FF000000"/>
      <name val="Aptos Narrow"/>
      <family val="2"/>
      <scheme val="minor"/>
    </font>
    <font>
      <sz val="12"/>
      <color theme="1"/>
      <name val="Calibri"/>
      <family val="2"/>
    </font>
    <font>
      <sz val="11"/>
      <color theme="1"/>
      <name val="Calibri"/>
      <family val="2"/>
    </font>
    <font>
      <sz val="11"/>
      <color theme="1"/>
      <name val="Aptos Narrow"/>
      <family val="2"/>
      <scheme val="minor"/>
    </font>
    <font>
      <sz val="9"/>
      <color theme="1"/>
      <name val="Aptos Narrow"/>
      <family val="2"/>
      <scheme val="minor"/>
    </font>
    <font>
      <sz val="9"/>
      <color theme="0"/>
      <name val="Calibri"/>
      <family val="2"/>
    </font>
    <font>
      <b/>
      <sz val="9"/>
      <color theme="1"/>
      <name val="Aptos Display"/>
      <family val="2"/>
    </font>
    <font>
      <sz val="9"/>
      <color theme="1"/>
      <name val="Aptos Display"/>
      <family val="2"/>
      <scheme val="major"/>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2">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0" fontId="1" fillId="0" borderId="0" xfId="0" applyFont="1" applyAlignment="1">
      <alignment horizontal="center" vertical="center"/>
    </xf>
    <xf numFmtId="1" fontId="0" fillId="0" borderId="0" xfId="0" applyNumberFormat="1"/>
    <xf numFmtId="10" fontId="0" fillId="0" borderId="0" xfId="0" applyNumberFormat="1"/>
    <xf numFmtId="0" fontId="7" fillId="3" borderId="0" xfId="0" applyFont="1" applyFill="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9" fontId="8" fillId="0" borderId="0" xfId="1" applyFont="1" applyBorder="1" applyAlignment="1">
      <alignment horizontal="center" vertical="center"/>
    </xf>
    <xf numFmtId="0" fontId="6" fillId="0" borderId="0" xfId="0" applyFont="1" applyAlignment="1">
      <alignment horizontal="center"/>
    </xf>
    <xf numFmtId="0" fontId="5" fillId="0" borderId="0" xfId="0" applyFont="1"/>
    <xf numFmtId="0" fontId="5" fillId="0" borderId="0" xfId="0" applyFont="1" applyAlignment="1">
      <alignment horizontal="center"/>
    </xf>
    <xf numFmtId="9" fontId="5" fillId="0" borderId="0" xfId="1" applyFont="1" applyFill="1" applyAlignment="1">
      <alignment horizontal="center"/>
    </xf>
    <xf numFmtId="0" fontId="6"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7" fillId="3"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101">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 formatCode="0"/>
    </dxf>
    <dxf>
      <font>
        <b/>
        <color theme="1"/>
      </font>
      <border>
        <bottom style="thin">
          <color theme="4"/>
        </bottom>
        <vertical/>
        <horizontal/>
      </border>
    </dxf>
    <dxf>
      <font>
        <sz val="8"/>
        <color theme="1"/>
        <name val="Aptos Narrow"/>
        <family val="2"/>
      </font>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sz val="8"/>
        <color theme="1"/>
        <name val="Aptos Narrow"/>
        <family val="2"/>
      </font>
      <fill>
        <patternFill patternType="none">
          <bgColor auto="1"/>
        </patternFill>
      </fill>
      <border diagonalUp="0" diagonalDown="0">
        <left/>
        <right/>
        <top/>
        <bottom/>
        <vertical/>
        <horizontal/>
      </border>
    </dxf>
    <dxf>
      <font>
        <b/>
        <color theme="1"/>
      </font>
      <border>
        <bottom style="thin">
          <color theme="4"/>
        </bottom>
        <vertical/>
        <horizontal/>
      </border>
    </dxf>
    <dxf>
      <font>
        <sz val="7"/>
        <color theme="1"/>
        <name val="Aptos Narrow"/>
        <family val="2"/>
        <scheme val="none"/>
      </font>
      <border diagonalUp="0" diagonalDown="0">
        <left/>
        <right/>
        <top/>
        <bottom/>
        <vertical/>
        <horizontal/>
      </border>
    </dxf>
    <dxf>
      <font>
        <b/>
        <color theme="1"/>
      </font>
      <border>
        <bottom style="thin">
          <color theme="4"/>
        </bottom>
        <vertical/>
        <horizontal/>
      </border>
    </dxf>
    <dxf>
      <font>
        <sz val="5"/>
        <color theme="1"/>
        <name val="Aptos Narrow"/>
        <family val="2"/>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123" pivot="0" table="0" count="10" xr9:uid="{BD6327C9-35C8-4A2B-98EC-69B22E02217D}">
      <tableStyleElement type="wholeTable" dxfId="100"/>
      <tableStyleElement type="headerRow" dxfId="99"/>
    </tableStyle>
    <tableStyle name="mystyle" pivot="0" table="0" count="10" xr9:uid="{C5B6F35D-F337-4FE4-9E62-E19B962CF9D0}">
      <tableStyleElement type="wholeTable" dxfId="98"/>
      <tableStyleElement type="headerRow" dxfId="97"/>
    </tableStyle>
    <tableStyle name="slicer 2" pivot="0" table="0" count="10" xr9:uid="{B64AD9F8-F055-444C-B08B-EBBCEB9BA16D}">
      <tableStyleElement type="wholeTable" dxfId="96"/>
      <tableStyleElement type="headerRow" dxfId="95"/>
    </tableStyle>
    <tableStyle name="year slicer" pivot="0" table="0" count="10" xr9:uid="{93CBC4EC-275D-4B8B-B5A6-0AB08DE719CD}">
      <tableStyleElement type="wholeTable" dxfId="94"/>
      <tableStyleElement type="headerRow" dxfId="93"/>
    </tableStyle>
    <tableStyle name="yearorg" pivot="0" table="0" count="10" xr9:uid="{431F39AD-CF6C-48C5-8945-575DC938CF92}">
      <tableStyleElement type="wholeTable" dxfId="92"/>
      <tableStyleElement type="headerRow" dxfId="91"/>
    </tableStyle>
  </tableStyles>
  <colors>
    <mruColors>
      <color rgb="FF008080"/>
      <color rgb="FF307072"/>
      <color rgb="FF026974"/>
      <color rgb="FF438BA5"/>
      <color rgb="FF36AFB2"/>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12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y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year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yearorg">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PR!$K$8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PR!$J$9:$J$39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PR!$K$9:$K$39</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B4A3-4A0D-AEFA-51B7A030BB1D}"/>
            </c:ext>
          </c:extLst>
        </c:ser>
        <c:dLbls>
          <c:showLegendKey val="0"/>
          <c:showVal val="0"/>
          <c:showCatName val="0"/>
          <c:showSerName val="0"/>
          <c:showPercent val="0"/>
          <c:showBubbleSize val="0"/>
        </c:dLbls>
        <c:axId val="73154831"/>
        <c:axId val="73151231"/>
      </c:areaChart>
      <c:catAx>
        <c:axId val="73154831"/>
        <c:scaling>
          <c:orientation val="minMax"/>
        </c:scaling>
        <c:delete val="1"/>
        <c:axPos val="b"/>
        <c:numFmt formatCode="General" sourceLinked="1"/>
        <c:majorTickMark val="out"/>
        <c:minorTickMark val="none"/>
        <c:tickLblPos val="nextTo"/>
        <c:crossAx val="73151231"/>
        <c:crosses val="autoZero"/>
        <c:auto val="1"/>
        <c:lblAlgn val="ctr"/>
        <c:lblOffset val="100"/>
        <c:noMultiLvlLbl val="0"/>
      </c:catAx>
      <c:valAx>
        <c:axId val="73151231"/>
        <c:scaling>
          <c:orientation val="minMax"/>
        </c:scaling>
        <c:delete val="1"/>
        <c:axPos val="l"/>
        <c:numFmt formatCode="General" sourceLinked="1"/>
        <c:majorTickMark val="none"/>
        <c:minorTickMark val="none"/>
        <c:tickLblPos val="nextTo"/>
        <c:crossAx val="731548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Project.xlsx]PR!PivotTable1</c:name>
    <c:fmtId val="1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PR!$G$9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PR!$F$10:$F$40</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PR!$G$10:$G$40</c:f>
              <c:numCache>
                <c:formatCode>0.00</c:formatCode>
                <c:ptCount val="30"/>
                <c:pt idx="0">
                  <c:v>34.279069767441861</c:v>
                </c:pt>
                <c:pt idx="1">
                  <c:v>36.222222222222221</c:v>
                </c:pt>
                <c:pt idx="2">
                  <c:v>35.904761904761905</c:v>
                </c:pt>
                <c:pt idx="3">
                  <c:v>32.53125</c:v>
                </c:pt>
                <c:pt idx="4">
                  <c:v>33.84375</c:v>
                </c:pt>
                <c:pt idx="5">
                  <c:v>35.214285714285715</c:v>
                </c:pt>
                <c:pt idx="6">
                  <c:v>37.21875</c:v>
                </c:pt>
                <c:pt idx="7">
                  <c:v>36.871794871794869</c:v>
                </c:pt>
                <c:pt idx="8">
                  <c:v>36.450000000000003</c:v>
                </c:pt>
                <c:pt idx="9">
                  <c:v>32.935483870967744</c:v>
                </c:pt>
                <c:pt idx="10">
                  <c:v>41.323529411764703</c:v>
                </c:pt>
                <c:pt idx="11">
                  <c:v>34.432432432432435</c:v>
                </c:pt>
                <c:pt idx="12">
                  <c:v>36.966666666666669</c:v>
                </c:pt>
                <c:pt idx="13">
                  <c:v>39.520000000000003</c:v>
                </c:pt>
                <c:pt idx="14">
                  <c:v>36.026315789473685</c:v>
                </c:pt>
                <c:pt idx="15">
                  <c:v>32.370370370370374</c:v>
                </c:pt>
                <c:pt idx="16">
                  <c:v>33.243243243243242</c:v>
                </c:pt>
                <c:pt idx="17">
                  <c:v>33.575757575757578</c:v>
                </c:pt>
                <c:pt idx="18">
                  <c:v>31.130434782608695</c:v>
                </c:pt>
                <c:pt idx="19">
                  <c:v>36.888888888888886</c:v>
                </c:pt>
                <c:pt idx="20">
                  <c:v>29.862068965517242</c:v>
                </c:pt>
                <c:pt idx="21">
                  <c:v>36.526315789473685</c:v>
                </c:pt>
                <c:pt idx="22">
                  <c:v>34.571428571428569</c:v>
                </c:pt>
                <c:pt idx="23">
                  <c:v>38.5</c:v>
                </c:pt>
                <c:pt idx="24">
                  <c:v>37.12903225806452</c:v>
                </c:pt>
                <c:pt idx="25">
                  <c:v>33.852941176470587</c:v>
                </c:pt>
                <c:pt idx="26">
                  <c:v>37.230769230769234</c:v>
                </c:pt>
                <c:pt idx="27">
                  <c:v>36.075000000000003</c:v>
                </c:pt>
                <c:pt idx="28">
                  <c:v>34.354838709677416</c:v>
                </c:pt>
                <c:pt idx="29">
                  <c:v>39.571428571428569</c:v>
                </c:pt>
              </c:numCache>
            </c:numRef>
          </c:val>
          <c:extLst>
            <c:ext xmlns:c16="http://schemas.microsoft.com/office/drawing/2014/chart" uri="{C3380CC4-5D6E-409C-BE32-E72D297353CC}">
              <c16:uniqueId val="{00000000-4059-492A-A73F-48208C225C3A}"/>
            </c:ext>
          </c:extLst>
        </c:ser>
        <c:dLbls>
          <c:showLegendKey val="0"/>
          <c:showVal val="0"/>
          <c:showCatName val="0"/>
          <c:showSerName val="0"/>
          <c:showPercent val="0"/>
          <c:showBubbleSize val="0"/>
        </c:dLbls>
        <c:axId val="752321504"/>
        <c:axId val="752324744"/>
      </c:areaChart>
      <c:catAx>
        <c:axId val="752321504"/>
        <c:scaling>
          <c:orientation val="minMax"/>
        </c:scaling>
        <c:delete val="1"/>
        <c:axPos val="b"/>
        <c:numFmt formatCode="General" sourceLinked="1"/>
        <c:majorTickMark val="out"/>
        <c:minorTickMark val="none"/>
        <c:tickLblPos val="nextTo"/>
        <c:crossAx val="752324744"/>
        <c:crosses val="autoZero"/>
        <c:auto val="1"/>
        <c:lblAlgn val="ctr"/>
        <c:lblOffset val="100"/>
        <c:noMultiLvlLbl val="0"/>
      </c:catAx>
      <c:valAx>
        <c:axId val="752324744"/>
        <c:scaling>
          <c:orientation val="minMax"/>
        </c:scaling>
        <c:delete val="1"/>
        <c:axPos val="l"/>
        <c:numFmt formatCode="0.00" sourceLinked="1"/>
        <c:majorTickMark val="none"/>
        <c:minorTickMark val="none"/>
        <c:tickLblPos val="nextTo"/>
        <c:crossAx val="7523215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Project.xlsx]PR!PivotTable5</c:name>
    <c:fmtId val="2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PR!$N$9:$N$39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PR!$O$9:$O$39</c:f>
              <c:numCache>
                <c:formatCode>0.00</c:formatCode>
                <c:ptCount val="30"/>
                <c:pt idx="0">
                  <c:v>4.7777777777777777</c:v>
                </c:pt>
                <c:pt idx="1">
                  <c:v>5.2727272727272725</c:v>
                </c:pt>
                <c:pt idx="2">
                  <c:v>4.2727272727272725</c:v>
                </c:pt>
                <c:pt idx="3">
                  <c:v>5</c:v>
                </c:pt>
                <c:pt idx="4">
                  <c:v>4.3571428571428568</c:v>
                </c:pt>
                <c:pt idx="5">
                  <c:v>4.8571428571428568</c:v>
                </c:pt>
                <c:pt idx="6">
                  <c:v>5.125</c:v>
                </c:pt>
                <c:pt idx="7">
                  <c:v>5</c:v>
                </c:pt>
                <c:pt idx="8">
                  <c:v>5.2222222222222223</c:v>
                </c:pt>
                <c:pt idx="9">
                  <c:v>4.2222222222222223</c:v>
                </c:pt>
                <c:pt idx="10">
                  <c:v>4.8571428571428568</c:v>
                </c:pt>
                <c:pt idx="11">
                  <c:v>3.8888888888888888</c:v>
                </c:pt>
                <c:pt idx="12">
                  <c:v>4</c:v>
                </c:pt>
                <c:pt idx="13">
                  <c:v>5</c:v>
                </c:pt>
                <c:pt idx="14">
                  <c:v>5.7777777777777777</c:v>
                </c:pt>
                <c:pt idx="15">
                  <c:v>2.6</c:v>
                </c:pt>
                <c:pt idx="16">
                  <c:v>6.5</c:v>
                </c:pt>
                <c:pt idx="17">
                  <c:v>3.8181818181818183</c:v>
                </c:pt>
                <c:pt idx="18">
                  <c:v>4.4000000000000004</c:v>
                </c:pt>
                <c:pt idx="19">
                  <c:v>4.5</c:v>
                </c:pt>
                <c:pt idx="20">
                  <c:v>4.625</c:v>
                </c:pt>
                <c:pt idx="21">
                  <c:v>4.5</c:v>
                </c:pt>
                <c:pt idx="22">
                  <c:v>5.833333333333333</c:v>
                </c:pt>
                <c:pt idx="23">
                  <c:v>4.666666666666667</c:v>
                </c:pt>
                <c:pt idx="24">
                  <c:v>4.666666666666667</c:v>
                </c:pt>
                <c:pt idx="25">
                  <c:v>6.75</c:v>
                </c:pt>
                <c:pt idx="26">
                  <c:v>5.7</c:v>
                </c:pt>
                <c:pt idx="27">
                  <c:v>5.5</c:v>
                </c:pt>
                <c:pt idx="28">
                  <c:v>6.2222222222222223</c:v>
                </c:pt>
                <c:pt idx="29">
                  <c:v>5.833333333333333</c:v>
                </c:pt>
              </c:numCache>
            </c:numRef>
          </c:val>
          <c:extLst>
            <c:ext xmlns:c16="http://schemas.microsoft.com/office/drawing/2014/chart" uri="{C3380CC4-5D6E-409C-BE32-E72D297353CC}">
              <c16:uniqueId val="{00000000-98C4-4664-A889-B628921F7D05}"/>
            </c:ext>
          </c:extLst>
        </c:ser>
        <c:dLbls>
          <c:showLegendKey val="0"/>
          <c:showVal val="0"/>
          <c:showCatName val="0"/>
          <c:showSerName val="0"/>
          <c:showPercent val="0"/>
          <c:showBubbleSize val="0"/>
        </c:dLbls>
        <c:axId val="421707240"/>
        <c:axId val="421709040"/>
      </c:areaChart>
      <c:catAx>
        <c:axId val="421707240"/>
        <c:scaling>
          <c:orientation val="minMax"/>
        </c:scaling>
        <c:delete val="1"/>
        <c:axPos val="b"/>
        <c:numFmt formatCode="General" sourceLinked="1"/>
        <c:majorTickMark val="out"/>
        <c:minorTickMark val="none"/>
        <c:tickLblPos val="nextTo"/>
        <c:crossAx val="421709040"/>
        <c:crosses val="autoZero"/>
        <c:auto val="1"/>
        <c:lblAlgn val="ctr"/>
        <c:lblOffset val="100"/>
        <c:noMultiLvlLbl val="0"/>
      </c:catAx>
      <c:valAx>
        <c:axId val="421709040"/>
        <c:scaling>
          <c:orientation val="minMax"/>
        </c:scaling>
        <c:delete val="1"/>
        <c:axPos val="l"/>
        <c:numFmt formatCode="0.00" sourceLinked="1"/>
        <c:majorTickMark val="none"/>
        <c:minorTickMark val="none"/>
        <c:tickLblPos val="nextTo"/>
        <c:crossAx val="421707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Project.xlsx]PR!PivotTable8</c:name>
    <c:fmtId val="20"/>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j-lt"/>
                <a:ea typeface="+mn-ea"/>
                <a:cs typeface="+mn-cs"/>
              </a:defRPr>
            </a:pPr>
            <a:r>
              <a:rPr lang="en-US" sz="1000" b="1">
                <a:latin typeface="+mj-lt"/>
              </a:rPr>
              <a:t>No. of Patient by Age Group</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j-lt"/>
              <a:ea typeface="+mn-ea"/>
              <a:cs typeface="+mn-cs"/>
            </a:defRPr>
          </a:pPr>
          <a:endParaRPr lang="en-PK"/>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PR!$A$53:$A$61</c:f>
              <c:strCache>
                <c:ptCount val="8"/>
                <c:pt idx="0">
                  <c:v>0-09</c:v>
                </c:pt>
                <c:pt idx="1">
                  <c:v>10-19</c:v>
                </c:pt>
                <c:pt idx="2">
                  <c:v>20-29</c:v>
                </c:pt>
                <c:pt idx="3">
                  <c:v>30-39</c:v>
                </c:pt>
                <c:pt idx="4">
                  <c:v>40-49</c:v>
                </c:pt>
                <c:pt idx="5">
                  <c:v>50-59</c:v>
                </c:pt>
                <c:pt idx="6">
                  <c:v>60-69</c:v>
                </c:pt>
                <c:pt idx="7">
                  <c:v>70-79</c:v>
                </c:pt>
              </c:strCache>
            </c:strRef>
          </c:cat>
          <c:val>
            <c:numRef>
              <c:f>PR!$B$53:$B$61</c:f>
              <c:numCache>
                <c:formatCode>0</c:formatCode>
                <c:ptCount val="8"/>
                <c:pt idx="0">
                  <c:v>113</c:v>
                </c:pt>
                <c:pt idx="1">
                  <c:v>127</c:v>
                </c:pt>
                <c:pt idx="2">
                  <c:v>144</c:v>
                </c:pt>
                <c:pt idx="3">
                  <c:v>126</c:v>
                </c:pt>
                <c:pt idx="4">
                  <c:v>119</c:v>
                </c:pt>
                <c:pt idx="5">
                  <c:v>109</c:v>
                </c:pt>
                <c:pt idx="6">
                  <c:v>125</c:v>
                </c:pt>
                <c:pt idx="7">
                  <c:v>128</c:v>
                </c:pt>
              </c:numCache>
            </c:numRef>
          </c:val>
          <c:extLst>
            <c:ext xmlns:c16="http://schemas.microsoft.com/office/drawing/2014/chart" uri="{C3380CC4-5D6E-409C-BE32-E72D297353CC}">
              <c16:uniqueId val="{00000000-56C2-4A49-B844-A7CBB4351814}"/>
            </c:ext>
          </c:extLst>
        </c:ser>
        <c:dLbls>
          <c:dLblPos val="outEnd"/>
          <c:showLegendKey val="0"/>
          <c:showVal val="1"/>
          <c:showCatName val="0"/>
          <c:showSerName val="0"/>
          <c:showPercent val="0"/>
          <c:showBubbleSize val="0"/>
        </c:dLbls>
        <c:gapWidth val="100"/>
        <c:overlap val="-24"/>
        <c:axId val="2010137368"/>
        <c:axId val="2010131248"/>
      </c:barChart>
      <c:catAx>
        <c:axId val="2010137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PK"/>
          </a:p>
        </c:txPr>
        <c:crossAx val="2010131248"/>
        <c:crosses val="autoZero"/>
        <c:auto val="1"/>
        <c:lblAlgn val="ctr"/>
        <c:lblOffset val="100"/>
        <c:noMultiLvlLbl val="0"/>
      </c:catAx>
      <c:valAx>
        <c:axId val="2010131248"/>
        <c:scaling>
          <c:orientation val="minMax"/>
        </c:scaling>
        <c:delete val="1"/>
        <c:axPos val="l"/>
        <c:numFmt formatCode="0" sourceLinked="1"/>
        <c:majorTickMark val="none"/>
        <c:minorTickMark val="none"/>
        <c:tickLblPos val="nextTo"/>
        <c:crossAx val="2010137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Project.xlsx]PR!PivotTable9</c:name>
    <c:fmtId val="29"/>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US" sz="800" b="1">
                <a:latin typeface="+mn-lt"/>
              </a:rPr>
              <a:t>Patient</a:t>
            </a:r>
            <a:r>
              <a:rPr lang="en-US" sz="800" b="1" baseline="0">
                <a:latin typeface="+mn-lt"/>
              </a:rPr>
              <a:t> Attend Status</a:t>
            </a:r>
          </a:p>
        </c:rich>
      </c:tx>
      <c:layout>
        <c:manualLayout>
          <c:xMode val="edge"/>
          <c:yMode val="edge"/>
          <c:x val="0.15052810988405865"/>
          <c:y val="0.85093667376280069"/>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j-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j-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j-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17623715894671807"/>
          <c:y val="0.1383141939104679"/>
          <c:w val="0.65866068469378192"/>
          <c:h val="0.70933144244420743"/>
        </c:manualLayout>
      </c:layout>
      <c:pieChart>
        <c:varyColors val="1"/>
        <c:ser>
          <c:idx val="0"/>
          <c:order val="0"/>
          <c:tx>
            <c:strRef>
              <c:f>PR!$B$67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7B-459B-A91E-88686E57FB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7B-459B-A91E-88686E57FBDC}"/>
              </c:ext>
            </c:extLst>
          </c:dPt>
          <c:dLbls>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1"/>
                    </a:solidFill>
                    <a:latin typeface="+mj-lt"/>
                    <a:ea typeface="+mn-ea"/>
                    <a:cs typeface="+mn-cs"/>
                  </a:defRPr>
                </a:pPr>
                <a:endParaRPr lang="en-PK"/>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PR!$A$68:$A$70</c:f>
              <c:strCache>
                <c:ptCount val="2"/>
                <c:pt idx="0">
                  <c:v>Delay</c:v>
                </c:pt>
                <c:pt idx="1">
                  <c:v>OnTime</c:v>
                </c:pt>
              </c:strCache>
            </c:strRef>
          </c:cat>
          <c:val>
            <c:numRef>
              <c:f>PR!$B$68:$B$70</c:f>
              <c:numCache>
                <c:formatCode>0</c:formatCode>
                <c:ptCount val="2"/>
                <c:pt idx="0">
                  <c:v>608</c:v>
                </c:pt>
                <c:pt idx="1">
                  <c:v>383</c:v>
                </c:pt>
              </c:numCache>
            </c:numRef>
          </c:val>
          <c:extLst>
            <c:ext xmlns:c16="http://schemas.microsoft.com/office/drawing/2014/chart" uri="{C3380CC4-5D6E-409C-BE32-E72D297353CC}">
              <c16:uniqueId val="{00000004-787B-459B-A91E-88686E57FBD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6577534975423272"/>
          <c:y val="3.7823082096279541E-2"/>
          <c:w val="0.65506014873140872"/>
          <c:h val="0.10532516768737239"/>
        </c:manualLayout>
      </c:layout>
      <c:overlay val="0"/>
      <c:spPr>
        <a:no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Project.xlsx]PR!PivotTable10</c:name>
    <c:fmtId val="37"/>
  </c:pivotSource>
  <c:chart>
    <c:title>
      <c:tx>
        <c:rich>
          <a:bodyPr rot="0" spcFirstLastPara="1" vertOverflow="ellipsis" vert="horz" wrap="square" anchor="ctr" anchorCtr="1"/>
          <a:lstStyle/>
          <a:p>
            <a:pPr>
              <a:defRPr sz="750" b="1" i="0" u="none" strike="noStrike" kern="1200" spc="100" baseline="0">
                <a:solidFill>
                  <a:schemeClr val="tx1">
                    <a:lumMod val="65000"/>
                    <a:lumOff val="35000"/>
                  </a:schemeClr>
                </a:solidFill>
                <a:effectLst/>
                <a:latin typeface="Calibri" panose="020F0502020204030204" pitchFamily="34" charset="0"/>
                <a:ea typeface="Calibri" panose="020F0502020204030204" pitchFamily="34" charset="0"/>
                <a:cs typeface="Calibri" panose="020F0502020204030204" pitchFamily="34" charset="0"/>
              </a:defRPr>
            </a:pPr>
            <a:r>
              <a:rPr lang="en-US" sz="800" b="1" i="0" u="none" strike="noStrike" kern="1200" spc="0" baseline="0">
                <a:solidFill>
                  <a:sysClr val="windowText" lastClr="000000">
                    <a:lumMod val="65000"/>
                    <a:lumOff val="35000"/>
                  </a:sysClr>
                </a:solidFill>
                <a:effectLst/>
              </a:rPr>
              <a:t>Gender based Analysis</a:t>
            </a:r>
          </a:p>
        </c:rich>
      </c:tx>
      <c:layout>
        <c:manualLayout>
          <c:xMode val="edge"/>
          <c:yMode val="edge"/>
          <c:x val="0.15601345266052358"/>
          <c:y val="0.85972654767030676"/>
        </c:manualLayout>
      </c:layout>
      <c:overlay val="0"/>
      <c:spPr>
        <a:noFill/>
        <a:ln>
          <a:noFill/>
        </a:ln>
        <a:effectLst/>
      </c:spPr>
      <c:txPr>
        <a:bodyPr rot="0" spcFirstLastPara="1" vertOverflow="ellipsis" vert="horz" wrap="square" anchor="ctr" anchorCtr="1"/>
        <a:lstStyle/>
        <a:p>
          <a:pPr>
            <a:defRPr sz="750" b="1" i="0" u="none" strike="noStrike" kern="1200" spc="100" baseline="0">
              <a:solidFill>
                <a:schemeClr val="tx1">
                  <a:lumMod val="65000"/>
                  <a:lumOff val="35000"/>
                </a:schemeClr>
              </a:solidFill>
              <a:effectLst/>
              <a:latin typeface="Calibri" panose="020F0502020204030204" pitchFamily="34" charset="0"/>
              <a:ea typeface="Calibri" panose="020F0502020204030204" pitchFamily="34" charset="0"/>
              <a:cs typeface="Calibri" panose="020F0502020204030204" pitchFamily="34" charset="0"/>
            </a:defRPr>
          </a:pPr>
          <a:endParaRPr lang="en-PK"/>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bg1">
                      <a:lumMod val="95000"/>
                    </a:schemeClr>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9181429534081326"/>
          <c:y val="0.1599531746031746"/>
          <c:w val="0.64730696576585867"/>
          <c:h val="0.69757857142857138"/>
        </c:manualLayout>
      </c:layout>
      <c:doughnutChart>
        <c:varyColors val="1"/>
        <c:ser>
          <c:idx val="0"/>
          <c:order val="0"/>
          <c:tx>
            <c:strRef>
              <c:f>PR!$B$76</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54C-44E9-AF4C-83C61A9280C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54C-44E9-AF4C-83C61A9280CE}"/>
              </c:ext>
            </c:extLst>
          </c:dPt>
          <c:dLbls>
            <c:spPr>
              <a:no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bg1">
                        <a:lumMod val="95000"/>
                      </a:schemeClr>
                    </a:solidFill>
                    <a:latin typeface="+mn-lt"/>
                    <a:ea typeface="+mn-ea"/>
                    <a:cs typeface="+mn-cs"/>
                  </a:defRPr>
                </a:pPr>
                <a:endParaRPr lang="en-PK"/>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PR!$A$77:$A$79</c:f>
              <c:strCache>
                <c:ptCount val="2"/>
                <c:pt idx="0">
                  <c:v>Female</c:v>
                </c:pt>
                <c:pt idx="1">
                  <c:v>Male</c:v>
                </c:pt>
              </c:strCache>
            </c:strRef>
          </c:cat>
          <c:val>
            <c:numRef>
              <c:f>PR!$B$77:$B$79</c:f>
              <c:numCache>
                <c:formatCode>0</c:formatCode>
                <c:ptCount val="2"/>
                <c:pt idx="0">
                  <c:v>472</c:v>
                </c:pt>
                <c:pt idx="1">
                  <c:v>519</c:v>
                </c:pt>
              </c:numCache>
            </c:numRef>
          </c:val>
          <c:extLst>
            <c:ext xmlns:c16="http://schemas.microsoft.com/office/drawing/2014/chart" uri="{C3380CC4-5D6E-409C-BE32-E72D297353CC}">
              <c16:uniqueId val="{00000004-754C-44E9-AF4C-83C61A9280CE}"/>
            </c:ext>
          </c:extLst>
        </c:ser>
        <c:dLbls>
          <c:showLegendKey val="0"/>
          <c:showVal val="0"/>
          <c:showCatName val="0"/>
          <c:showSerName val="0"/>
          <c:showPercent val="1"/>
          <c:showBubbleSize val="0"/>
          <c:showLeaderLines val="0"/>
        </c:dLbls>
        <c:firstSliceAng val="33"/>
        <c:holeSize val="45"/>
      </c:doughnutChart>
      <c:spPr>
        <a:noFill/>
        <a:ln>
          <a:noFill/>
        </a:ln>
        <a:effectLst/>
      </c:spPr>
    </c:plotArea>
    <c:legend>
      <c:legendPos val="t"/>
      <c:layout>
        <c:manualLayout>
          <c:xMode val="edge"/>
          <c:yMode val="edge"/>
          <c:x val="0.2092968282267276"/>
          <c:y val="1.5544552800622068E-2"/>
          <c:w val="0.64058800023679852"/>
          <c:h val="0.1579166666666666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95000"/>
                  <a:lumOff val="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tx1">
              <a:lumMod val="95000"/>
              <a:lumOff val="5000"/>
            </a:schemeClr>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Project.xlsx]PR!PivotTable11</c:name>
    <c:fmtId val="49"/>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i="0" u="none" strike="noStrike" baseline="0">
                <a:latin typeface="+mj-lt"/>
              </a:rPr>
              <a:t>Patients by Referral Department</a:t>
            </a:r>
            <a:endParaRPr lang="en-US" sz="1000">
              <a:latin typeface="+mj-lt"/>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77346219515112"/>
          <c:y val="0.11751794642418451"/>
          <c:w val="0.64642473781363041"/>
          <c:h val="0.85320951698408598"/>
        </c:manualLayout>
      </c:layout>
      <c:barChart>
        <c:barDir val="bar"/>
        <c:grouping val="clustered"/>
        <c:varyColors val="0"/>
        <c:ser>
          <c:idx val="0"/>
          <c:order val="0"/>
          <c:tx>
            <c:strRef>
              <c:f>PR!$B$85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PR!$A$86:$A$94</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PR!$B$86:$B$94</c:f>
              <c:numCache>
                <c:formatCode>0</c:formatCode>
                <c:ptCount val="8"/>
                <c:pt idx="0">
                  <c:v>4</c:v>
                </c:pt>
                <c:pt idx="1">
                  <c:v>23</c:v>
                </c:pt>
                <c:pt idx="2">
                  <c:v>25</c:v>
                </c:pt>
                <c:pt idx="3">
                  <c:v>27</c:v>
                </c:pt>
                <c:pt idx="4">
                  <c:v>29</c:v>
                </c:pt>
                <c:pt idx="5">
                  <c:v>113</c:v>
                </c:pt>
                <c:pt idx="6">
                  <c:v>174</c:v>
                </c:pt>
                <c:pt idx="7">
                  <c:v>596</c:v>
                </c:pt>
              </c:numCache>
            </c:numRef>
          </c:val>
          <c:extLst>
            <c:ext xmlns:c16="http://schemas.microsoft.com/office/drawing/2014/chart" uri="{C3380CC4-5D6E-409C-BE32-E72D297353CC}">
              <c16:uniqueId val="{00000000-201A-484B-BA6B-07899F21DEA6}"/>
            </c:ext>
          </c:extLst>
        </c:ser>
        <c:dLbls>
          <c:dLblPos val="outEnd"/>
          <c:showLegendKey val="0"/>
          <c:showVal val="1"/>
          <c:showCatName val="0"/>
          <c:showSerName val="0"/>
          <c:showPercent val="0"/>
          <c:showBubbleSize val="0"/>
        </c:dLbls>
        <c:gapWidth val="115"/>
        <c:overlap val="-20"/>
        <c:axId val="211128407"/>
        <c:axId val="211134167"/>
      </c:barChart>
      <c:catAx>
        <c:axId val="21112840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PK"/>
          </a:p>
        </c:txPr>
        <c:crossAx val="211134167"/>
        <c:crosses val="autoZero"/>
        <c:auto val="1"/>
        <c:lblAlgn val="ctr"/>
        <c:lblOffset val="100"/>
        <c:noMultiLvlLbl val="0"/>
      </c:catAx>
      <c:valAx>
        <c:axId val="211134167"/>
        <c:scaling>
          <c:orientation val="minMax"/>
        </c:scaling>
        <c:delete val="1"/>
        <c:axPos val="b"/>
        <c:numFmt formatCode="0" sourceLinked="1"/>
        <c:majorTickMark val="out"/>
        <c:minorTickMark val="none"/>
        <c:tickLblPos val="nextTo"/>
        <c:crossAx val="211128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Project.xlsx]PR!PivotTable6</c:name>
    <c:fmtId val="0"/>
  </c:pivotSource>
  <c:chart>
    <c:autoTitleDeleted val="1"/>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PR!$K$8</c:f>
              <c:strCache>
                <c:ptCount val="1"/>
                <c:pt idx="0">
                  <c:v>Total</c:v>
                </c:pt>
              </c:strCache>
            </c:strRef>
          </c:tx>
          <c:spPr>
            <a:solidFill>
              <a:schemeClr val="accent1">
                <a:alpha val="85000"/>
              </a:schemeClr>
            </a:solidFill>
            <a:ln>
              <a:noFill/>
            </a:ln>
            <a:effectLst>
              <a:innerShdw dist="12700" dir="16200000">
                <a:schemeClr val="lt1"/>
              </a:innerShdw>
            </a:effectLst>
          </c:spPr>
          <c:cat>
            <c:strRef>
              <c:f>PR!$J$9:$J$39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PR!$K$9:$K$39</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07DF-4108-93D9-5D31CDCDD977}"/>
            </c:ext>
          </c:extLst>
        </c:ser>
        <c:dLbls>
          <c:showLegendKey val="0"/>
          <c:showVal val="0"/>
          <c:showCatName val="0"/>
          <c:showSerName val="0"/>
          <c:showPercent val="0"/>
          <c:showBubbleSize val="0"/>
        </c:dLbls>
        <c:axId val="73154831"/>
        <c:axId val="73151231"/>
      </c:areaChart>
      <c:catAx>
        <c:axId val="73154831"/>
        <c:scaling>
          <c:orientation val="minMax"/>
        </c:scaling>
        <c:delete val="1"/>
        <c:axPos val="b"/>
        <c:numFmt formatCode="General" sourceLinked="1"/>
        <c:majorTickMark val="out"/>
        <c:minorTickMark val="none"/>
        <c:tickLblPos val="nextTo"/>
        <c:crossAx val="73151231"/>
        <c:crosses val="autoZero"/>
        <c:auto val="1"/>
        <c:lblAlgn val="ctr"/>
        <c:lblOffset val="100"/>
        <c:noMultiLvlLbl val="0"/>
      </c:catAx>
      <c:valAx>
        <c:axId val="73151231"/>
        <c:scaling>
          <c:orientation val="minMax"/>
        </c:scaling>
        <c:delete val="1"/>
        <c:axPos val="l"/>
        <c:numFmt formatCode="General" sourceLinked="1"/>
        <c:majorTickMark val="out"/>
        <c:minorTickMark val="none"/>
        <c:tickLblPos val="nextTo"/>
        <c:crossAx val="731548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Project.xlsx]PR!PivotTable1</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PR!$G$9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PR!$F$10:$F$40</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PR!$G$10:$G$40</c:f>
              <c:numCache>
                <c:formatCode>0.00</c:formatCode>
                <c:ptCount val="30"/>
                <c:pt idx="0">
                  <c:v>34.279069767441861</c:v>
                </c:pt>
                <c:pt idx="1">
                  <c:v>36.222222222222221</c:v>
                </c:pt>
                <c:pt idx="2">
                  <c:v>35.904761904761905</c:v>
                </c:pt>
                <c:pt idx="3">
                  <c:v>32.53125</c:v>
                </c:pt>
                <c:pt idx="4">
                  <c:v>33.84375</c:v>
                </c:pt>
                <c:pt idx="5">
                  <c:v>35.214285714285715</c:v>
                </c:pt>
                <c:pt idx="6">
                  <c:v>37.21875</c:v>
                </c:pt>
                <c:pt idx="7">
                  <c:v>36.871794871794869</c:v>
                </c:pt>
                <c:pt idx="8">
                  <c:v>36.450000000000003</c:v>
                </c:pt>
                <c:pt idx="9">
                  <c:v>32.935483870967744</c:v>
                </c:pt>
                <c:pt idx="10">
                  <c:v>41.323529411764703</c:v>
                </c:pt>
                <c:pt idx="11">
                  <c:v>34.432432432432435</c:v>
                </c:pt>
                <c:pt idx="12">
                  <c:v>36.966666666666669</c:v>
                </c:pt>
                <c:pt idx="13">
                  <c:v>39.520000000000003</c:v>
                </c:pt>
                <c:pt idx="14">
                  <c:v>36.026315789473685</c:v>
                </c:pt>
                <c:pt idx="15">
                  <c:v>32.370370370370374</c:v>
                </c:pt>
                <c:pt idx="16">
                  <c:v>33.243243243243242</c:v>
                </c:pt>
                <c:pt idx="17">
                  <c:v>33.575757575757578</c:v>
                </c:pt>
                <c:pt idx="18">
                  <c:v>31.130434782608695</c:v>
                </c:pt>
                <c:pt idx="19">
                  <c:v>36.888888888888886</c:v>
                </c:pt>
                <c:pt idx="20">
                  <c:v>29.862068965517242</c:v>
                </c:pt>
                <c:pt idx="21">
                  <c:v>36.526315789473685</c:v>
                </c:pt>
                <c:pt idx="22">
                  <c:v>34.571428571428569</c:v>
                </c:pt>
                <c:pt idx="23">
                  <c:v>38.5</c:v>
                </c:pt>
                <c:pt idx="24">
                  <c:v>37.12903225806452</c:v>
                </c:pt>
                <c:pt idx="25">
                  <c:v>33.852941176470587</c:v>
                </c:pt>
                <c:pt idx="26">
                  <c:v>37.230769230769234</c:v>
                </c:pt>
                <c:pt idx="27">
                  <c:v>36.075000000000003</c:v>
                </c:pt>
                <c:pt idx="28">
                  <c:v>34.354838709677416</c:v>
                </c:pt>
                <c:pt idx="29">
                  <c:v>39.571428571428569</c:v>
                </c:pt>
              </c:numCache>
            </c:numRef>
          </c:val>
          <c:extLst>
            <c:ext xmlns:c16="http://schemas.microsoft.com/office/drawing/2014/chart" uri="{C3380CC4-5D6E-409C-BE32-E72D297353CC}">
              <c16:uniqueId val="{00000000-E7C7-4400-9B2B-57A2BD118AEF}"/>
            </c:ext>
          </c:extLst>
        </c:ser>
        <c:dLbls>
          <c:showLegendKey val="0"/>
          <c:showVal val="0"/>
          <c:showCatName val="0"/>
          <c:showSerName val="0"/>
          <c:showPercent val="0"/>
          <c:showBubbleSize val="0"/>
        </c:dLbls>
        <c:axId val="752321504"/>
        <c:axId val="752324744"/>
      </c:areaChart>
      <c:catAx>
        <c:axId val="752321504"/>
        <c:scaling>
          <c:orientation val="minMax"/>
        </c:scaling>
        <c:delete val="1"/>
        <c:axPos val="b"/>
        <c:numFmt formatCode="General" sourceLinked="1"/>
        <c:majorTickMark val="out"/>
        <c:minorTickMark val="none"/>
        <c:tickLblPos val="nextTo"/>
        <c:crossAx val="752324744"/>
        <c:crosses val="autoZero"/>
        <c:auto val="1"/>
        <c:lblAlgn val="ctr"/>
        <c:lblOffset val="100"/>
        <c:noMultiLvlLbl val="0"/>
      </c:catAx>
      <c:valAx>
        <c:axId val="752324744"/>
        <c:scaling>
          <c:orientation val="minMax"/>
        </c:scaling>
        <c:delete val="1"/>
        <c:axPos val="l"/>
        <c:numFmt formatCode="0.00" sourceLinked="1"/>
        <c:majorTickMark val="none"/>
        <c:minorTickMark val="none"/>
        <c:tickLblPos val="nextTo"/>
        <c:crossAx val="7523215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Project.xlsx]PR!PivotTable5</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PR!$N$9:$N$39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PR!$O$9:$O$39</c:f>
              <c:numCache>
                <c:formatCode>0.00</c:formatCode>
                <c:ptCount val="30"/>
                <c:pt idx="0">
                  <c:v>4.7777777777777777</c:v>
                </c:pt>
                <c:pt idx="1">
                  <c:v>5.2727272727272725</c:v>
                </c:pt>
                <c:pt idx="2">
                  <c:v>4.2727272727272725</c:v>
                </c:pt>
                <c:pt idx="3">
                  <c:v>5</c:v>
                </c:pt>
                <c:pt idx="4">
                  <c:v>4.3571428571428568</c:v>
                </c:pt>
                <c:pt idx="5">
                  <c:v>4.8571428571428568</c:v>
                </c:pt>
                <c:pt idx="6">
                  <c:v>5.125</c:v>
                </c:pt>
                <c:pt idx="7">
                  <c:v>5</c:v>
                </c:pt>
                <c:pt idx="8">
                  <c:v>5.2222222222222223</c:v>
                </c:pt>
                <c:pt idx="9">
                  <c:v>4.2222222222222223</c:v>
                </c:pt>
                <c:pt idx="10">
                  <c:v>4.8571428571428568</c:v>
                </c:pt>
                <c:pt idx="11">
                  <c:v>3.8888888888888888</c:v>
                </c:pt>
                <c:pt idx="12">
                  <c:v>4</c:v>
                </c:pt>
                <c:pt idx="13">
                  <c:v>5</c:v>
                </c:pt>
                <c:pt idx="14">
                  <c:v>5.7777777777777777</c:v>
                </c:pt>
                <c:pt idx="15">
                  <c:v>2.6</c:v>
                </c:pt>
                <c:pt idx="16">
                  <c:v>6.5</c:v>
                </c:pt>
                <c:pt idx="17">
                  <c:v>3.8181818181818183</c:v>
                </c:pt>
                <c:pt idx="18">
                  <c:v>4.4000000000000004</c:v>
                </c:pt>
                <c:pt idx="19">
                  <c:v>4.5</c:v>
                </c:pt>
                <c:pt idx="20">
                  <c:v>4.625</c:v>
                </c:pt>
                <c:pt idx="21">
                  <c:v>4.5</c:v>
                </c:pt>
                <c:pt idx="22">
                  <c:v>5.833333333333333</c:v>
                </c:pt>
                <c:pt idx="23">
                  <c:v>4.666666666666667</c:v>
                </c:pt>
                <c:pt idx="24">
                  <c:v>4.666666666666667</c:v>
                </c:pt>
                <c:pt idx="25">
                  <c:v>6.75</c:v>
                </c:pt>
                <c:pt idx="26">
                  <c:v>5.7</c:v>
                </c:pt>
                <c:pt idx="27">
                  <c:v>5.5</c:v>
                </c:pt>
                <c:pt idx="28">
                  <c:v>6.2222222222222223</c:v>
                </c:pt>
                <c:pt idx="29">
                  <c:v>5.833333333333333</c:v>
                </c:pt>
              </c:numCache>
            </c:numRef>
          </c:val>
          <c:extLst>
            <c:ext xmlns:c16="http://schemas.microsoft.com/office/drawing/2014/chart" uri="{C3380CC4-5D6E-409C-BE32-E72D297353CC}">
              <c16:uniqueId val="{00000000-DF44-4CA1-A3D8-50D7E49BDC17}"/>
            </c:ext>
          </c:extLst>
        </c:ser>
        <c:dLbls>
          <c:showLegendKey val="0"/>
          <c:showVal val="0"/>
          <c:showCatName val="0"/>
          <c:showSerName val="0"/>
          <c:showPercent val="0"/>
          <c:showBubbleSize val="0"/>
        </c:dLbls>
        <c:axId val="421707240"/>
        <c:axId val="421709040"/>
      </c:areaChart>
      <c:catAx>
        <c:axId val="421707240"/>
        <c:scaling>
          <c:orientation val="minMax"/>
        </c:scaling>
        <c:delete val="1"/>
        <c:axPos val="b"/>
        <c:numFmt formatCode="General" sourceLinked="1"/>
        <c:majorTickMark val="out"/>
        <c:minorTickMark val="none"/>
        <c:tickLblPos val="nextTo"/>
        <c:crossAx val="421709040"/>
        <c:crosses val="autoZero"/>
        <c:auto val="1"/>
        <c:lblAlgn val="ctr"/>
        <c:lblOffset val="100"/>
        <c:noMultiLvlLbl val="0"/>
      </c:catAx>
      <c:valAx>
        <c:axId val="421709040"/>
        <c:scaling>
          <c:orientation val="minMax"/>
        </c:scaling>
        <c:delete val="1"/>
        <c:axPos val="l"/>
        <c:numFmt formatCode="0.00" sourceLinked="1"/>
        <c:majorTickMark val="none"/>
        <c:minorTickMark val="none"/>
        <c:tickLblPos val="nextTo"/>
        <c:crossAx val="421707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PR!$A$53:$A$61</c:f>
              <c:strCache>
                <c:ptCount val="8"/>
                <c:pt idx="0">
                  <c:v>0-09</c:v>
                </c:pt>
                <c:pt idx="1">
                  <c:v>10-19</c:v>
                </c:pt>
                <c:pt idx="2">
                  <c:v>20-29</c:v>
                </c:pt>
                <c:pt idx="3">
                  <c:v>30-39</c:v>
                </c:pt>
                <c:pt idx="4">
                  <c:v>40-49</c:v>
                </c:pt>
                <c:pt idx="5">
                  <c:v>50-59</c:v>
                </c:pt>
                <c:pt idx="6">
                  <c:v>60-69</c:v>
                </c:pt>
                <c:pt idx="7">
                  <c:v>70-79</c:v>
                </c:pt>
              </c:strCache>
            </c:strRef>
          </c:cat>
          <c:val>
            <c:numRef>
              <c:f>PR!$B$53:$B$61</c:f>
              <c:numCache>
                <c:formatCode>0</c:formatCode>
                <c:ptCount val="8"/>
                <c:pt idx="0">
                  <c:v>113</c:v>
                </c:pt>
                <c:pt idx="1">
                  <c:v>127</c:v>
                </c:pt>
                <c:pt idx="2">
                  <c:v>144</c:v>
                </c:pt>
                <c:pt idx="3">
                  <c:v>126</c:v>
                </c:pt>
                <c:pt idx="4">
                  <c:v>119</c:v>
                </c:pt>
                <c:pt idx="5">
                  <c:v>109</c:v>
                </c:pt>
                <c:pt idx="6">
                  <c:v>125</c:v>
                </c:pt>
                <c:pt idx="7">
                  <c:v>128</c:v>
                </c:pt>
              </c:numCache>
            </c:numRef>
          </c:val>
          <c:extLst>
            <c:ext xmlns:c16="http://schemas.microsoft.com/office/drawing/2014/chart" uri="{C3380CC4-5D6E-409C-BE32-E72D297353CC}">
              <c16:uniqueId val="{00000000-ADE3-4D51-8AD7-89A264042C38}"/>
            </c:ext>
          </c:extLst>
        </c:ser>
        <c:dLbls>
          <c:dLblPos val="outEnd"/>
          <c:showLegendKey val="0"/>
          <c:showVal val="1"/>
          <c:showCatName val="0"/>
          <c:showSerName val="0"/>
          <c:showPercent val="0"/>
          <c:showBubbleSize val="0"/>
        </c:dLbls>
        <c:gapWidth val="219"/>
        <c:overlap val="-27"/>
        <c:axId val="2010137368"/>
        <c:axId val="2010131248"/>
      </c:barChart>
      <c:catAx>
        <c:axId val="2010137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10131248"/>
        <c:crosses val="autoZero"/>
        <c:auto val="1"/>
        <c:lblAlgn val="ctr"/>
        <c:lblOffset val="100"/>
        <c:noMultiLvlLbl val="0"/>
      </c:catAx>
      <c:valAx>
        <c:axId val="2010131248"/>
        <c:scaling>
          <c:orientation val="minMax"/>
        </c:scaling>
        <c:delete val="1"/>
        <c:axPos val="l"/>
        <c:numFmt formatCode="0" sourceLinked="1"/>
        <c:majorTickMark val="out"/>
        <c:minorTickMark val="none"/>
        <c:tickLblPos val="nextTo"/>
        <c:crossAx val="2010137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Project.xlsx]PR!PivotTable9</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r>
              <a:rPr lang="en-US" b="1">
                <a:latin typeface="+mj-lt"/>
              </a:rPr>
              <a:t>Patient</a:t>
            </a:r>
            <a:r>
              <a:rPr lang="en-US" b="1" baseline="0">
                <a:latin typeface="+mj-lt"/>
              </a:rPr>
              <a:t> Attended Time</a:t>
            </a:r>
            <a:endParaRPr lang="en-US" b="1">
              <a:latin typeface="+mj-lt"/>
            </a:endParaRPr>
          </a:p>
        </c:rich>
      </c:tx>
      <c:layout>
        <c:manualLayout>
          <c:xMode val="edge"/>
          <c:yMode val="edge"/>
          <c:x val="0.35409733158355206"/>
          <c:y val="0.8978587031155557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j-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5123337707786519"/>
          <c:y val="0.16860155344787753"/>
          <c:w val="0.52741732283464571"/>
          <c:h val="0.707870601003321"/>
        </c:manualLayout>
      </c:layout>
      <c:pieChart>
        <c:varyColors val="1"/>
        <c:ser>
          <c:idx val="0"/>
          <c:order val="0"/>
          <c:tx>
            <c:strRef>
              <c:f>PR!$B$67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F4-4B4D-AD84-D394FD6855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F4-4B4D-AD84-D394FD68557E}"/>
              </c:ext>
            </c:extLst>
          </c:dPt>
          <c:dLbls>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j-lt"/>
                    <a:ea typeface="+mn-ea"/>
                    <a:cs typeface="+mn-cs"/>
                  </a:defRPr>
                </a:pPr>
                <a:endParaRPr lang="en-PK"/>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PR!$A$68:$A$70</c:f>
              <c:strCache>
                <c:ptCount val="2"/>
                <c:pt idx="0">
                  <c:v>Delay</c:v>
                </c:pt>
                <c:pt idx="1">
                  <c:v>OnTime</c:v>
                </c:pt>
              </c:strCache>
            </c:strRef>
          </c:cat>
          <c:val>
            <c:numRef>
              <c:f>PR!$B$68:$B$70</c:f>
              <c:numCache>
                <c:formatCode>0</c:formatCode>
                <c:ptCount val="2"/>
                <c:pt idx="0">
                  <c:v>608</c:v>
                </c:pt>
                <c:pt idx="1">
                  <c:v>383</c:v>
                </c:pt>
              </c:numCache>
            </c:numRef>
          </c:val>
          <c:extLst>
            <c:ext xmlns:c16="http://schemas.microsoft.com/office/drawing/2014/chart" uri="{C3380CC4-5D6E-409C-BE32-E72D297353CC}">
              <c16:uniqueId val="{00000002-D0B3-4389-9965-CCD379A860D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0327318460192476"/>
          <c:y val="3.7823344998541841E-2"/>
          <c:w val="0.65506014873140872"/>
          <c:h val="0.10532516768737239"/>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Project.xlsx]PR!PivotTable10</c:name>
    <c:fmtId val="34"/>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No. of Patient by Gender</a:t>
            </a:r>
          </a:p>
        </c:rich>
      </c:tx>
      <c:layout>
        <c:manualLayout>
          <c:xMode val="edge"/>
          <c:yMode val="edge"/>
          <c:x val="0.24999300087489063"/>
          <c:y val="0.8796296296296296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2275622732206333"/>
          <c:y val="0.26661407745221061"/>
          <c:w val="0.40412955731572614"/>
          <c:h val="0.50441484604628473"/>
        </c:manualLayout>
      </c:layout>
      <c:doughnutChart>
        <c:varyColors val="1"/>
        <c:ser>
          <c:idx val="0"/>
          <c:order val="0"/>
          <c:tx>
            <c:strRef>
              <c:f>PR!$B$76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01-4DC5-BBBF-FEC8B030BF9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01-4DC5-BBBF-FEC8B030BF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PR!$A$77:$A$79</c:f>
              <c:strCache>
                <c:ptCount val="2"/>
                <c:pt idx="0">
                  <c:v>Female</c:v>
                </c:pt>
                <c:pt idx="1">
                  <c:v>Male</c:v>
                </c:pt>
              </c:strCache>
            </c:strRef>
          </c:cat>
          <c:val>
            <c:numRef>
              <c:f>PR!$B$77:$B$79</c:f>
              <c:numCache>
                <c:formatCode>0</c:formatCode>
                <c:ptCount val="2"/>
                <c:pt idx="0">
                  <c:v>472</c:v>
                </c:pt>
                <c:pt idx="1">
                  <c:v>519</c:v>
                </c:pt>
              </c:numCache>
            </c:numRef>
          </c:val>
          <c:extLst>
            <c:ext xmlns:c16="http://schemas.microsoft.com/office/drawing/2014/chart" uri="{C3380CC4-5D6E-409C-BE32-E72D297353CC}">
              <c16:uniqueId val="{00000000-F60E-4F98-8A55-96CBE69D1E4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9987982661087781"/>
          <c:y val="5.8378726054040771E-2"/>
          <c:w val="0.46937939614925034"/>
          <c:h val="0.156251093613298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Project.xlsx]PR!PivotTable11</c:name>
    <c:fmtId val="4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latin typeface="+mj-lt"/>
              </a:rPr>
              <a:t>Patients by Referral Department</a:t>
            </a:r>
            <a:endParaRPr lang="en-US">
              <a:latin typeface="+mj-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PR!$B$85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PR!$A$86:$A$94</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PR!$B$86:$B$94</c:f>
              <c:numCache>
                <c:formatCode>0</c:formatCode>
                <c:ptCount val="8"/>
                <c:pt idx="0">
                  <c:v>4</c:v>
                </c:pt>
                <c:pt idx="1">
                  <c:v>23</c:v>
                </c:pt>
                <c:pt idx="2">
                  <c:v>25</c:v>
                </c:pt>
                <c:pt idx="3">
                  <c:v>27</c:v>
                </c:pt>
                <c:pt idx="4">
                  <c:v>29</c:v>
                </c:pt>
                <c:pt idx="5">
                  <c:v>113</c:v>
                </c:pt>
                <c:pt idx="6">
                  <c:v>174</c:v>
                </c:pt>
                <c:pt idx="7">
                  <c:v>596</c:v>
                </c:pt>
              </c:numCache>
            </c:numRef>
          </c:val>
          <c:extLst>
            <c:ext xmlns:c16="http://schemas.microsoft.com/office/drawing/2014/chart" uri="{C3380CC4-5D6E-409C-BE32-E72D297353CC}">
              <c16:uniqueId val="{00000000-75B8-4DFE-8BE8-561EFA4C7DDB}"/>
            </c:ext>
          </c:extLst>
        </c:ser>
        <c:dLbls>
          <c:dLblPos val="outEnd"/>
          <c:showLegendKey val="0"/>
          <c:showVal val="1"/>
          <c:showCatName val="0"/>
          <c:showSerName val="0"/>
          <c:showPercent val="0"/>
          <c:showBubbleSize val="0"/>
        </c:dLbls>
        <c:gapWidth val="115"/>
        <c:overlap val="-20"/>
        <c:axId val="211128407"/>
        <c:axId val="211134167"/>
      </c:barChart>
      <c:catAx>
        <c:axId val="21112840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11134167"/>
        <c:crosses val="autoZero"/>
        <c:auto val="1"/>
        <c:lblAlgn val="ctr"/>
        <c:lblOffset val="100"/>
        <c:noMultiLvlLbl val="0"/>
      </c:catAx>
      <c:valAx>
        <c:axId val="211134167"/>
        <c:scaling>
          <c:orientation val="minMax"/>
        </c:scaling>
        <c:delete val="1"/>
        <c:axPos val="b"/>
        <c:numFmt formatCode="0" sourceLinked="1"/>
        <c:majorTickMark val="out"/>
        <c:minorTickMark val="none"/>
        <c:tickLblPos val="nextTo"/>
        <c:crossAx val="211128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Project.xlsx]PR!PivotTable5</c:name>
    <c:fmtId val="2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Satisfaction Daily Score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PR!$O$8</c:f>
              <c:strCache>
                <c:ptCount val="1"/>
                <c:pt idx="0">
                  <c:v>Total</c:v>
                </c:pt>
              </c:strCache>
            </c:strRef>
          </c:tx>
          <c:spPr>
            <a:solidFill>
              <a:schemeClr val="accent1"/>
            </a:solidFill>
            <a:ln>
              <a:noFill/>
            </a:ln>
            <a:effectLst/>
          </c:spPr>
          <c:cat>
            <c:strRef>
              <c:f>PR!$N$9:$N$39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PR!$O$9:$O$39</c:f>
              <c:numCache>
                <c:formatCode>0.00</c:formatCode>
                <c:ptCount val="30"/>
                <c:pt idx="0">
                  <c:v>4.7777777777777777</c:v>
                </c:pt>
                <c:pt idx="1">
                  <c:v>5.2727272727272725</c:v>
                </c:pt>
                <c:pt idx="2">
                  <c:v>4.2727272727272725</c:v>
                </c:pt>
                <c:pt idx="3">
                  <c:v>5</c:v>
                </c:pt>
                <c:pt idx="4">
                  <c:v>4.3571428571428568</c:v>
                </c:pt>
                <c:pt idx="5">
                  <c:v>4.8571428571428568</c:v>
                </c:pt>
                <c:pt idx="6">
                  <c:v>5.125</c:v>
                </c:pt>
                <c:pt idx="7">
                  <c:v>5</c:v>
                </c:pt>
                <c:pt idx="8">
                  <c:v>5.2222222222222223</c:v>
                </c:pt>
                <c:pt idx="9">
                  <c:v>4.2222222222222223</c:v>
                </c:pt>
                <c:pt idx="10">
                  <c:v>4.8571428571428568</c:v>
                </c:pt>
                <c:pt idx="11">
                  <c:v>3.8888888888888888</c:v>
                </c:pt>
                <c:pt idx="12">
                  <c:v>4</c:v>
                </c:pt>
                <c:pt idx="13">
                  <c:v>5</c:v>
                </c:pt>
                <c:pt idx="14">
                  <c:v>5.7777777777777777</c:v>
                </c:pt>
                <c:pt idx="15">
                  <c:v>2.6</c:v>
                </c:pt>
                <c:pt idx="16">
                  <c:v>6.5</c:v>
                </c:pt>
                <c:pt idx="17">
                  <c:v>3.8181818181818183</c:v>
                </c:pt>
                <c:pt idx="18">
                  <c:v>4.4000000000000004</c:v>
                </c:pt>
                <c:pt idx="19">
                  <c:v>4.5</c:v>
                </c:pt>
                <c:pt idx="20">
                  <c:v>4.625</c:v>
                </c:pt>
                <c:pt idx="21">
                  <c:v>4.5</c:v>
                </c:pt>
                <c:pt idx="22">
                  <c:v>5.833333333333333</c:v>
                </c:pt>
                <c:pt idx="23">
                  <c:v>4.666666666666667</c:v>
                </c:pt>
                <c:pt idx="24">
                  <c:v>4.666666666666667</c:v>
                </c:pt>
                <c:pt idx="25">
                  <c:v>6.75</c:v>
                </c:pt>
                <c:pt idx="26">
                  <c:v>5.7</c:v>
                </c:pt>
                <c:pt idx="27">
                  <c:v>5.5</c:v>
                </c:pt>
                <c:pt idx="28">
                  <c:v>6.2222222222222223</c:v>
                </c:pt>
                <c:pt idx="29">
                  <c:v>5.833333333333333</c:v>
                </c:pt>
              </c:numCache>
            </c:numRef>
          </c:val>
          <c:extLst>
            <c:ext xmlns:c16="http://schemas.microsoft.com/office/drawing/2014/chart" uri="{C3380CC4-5D6E-409C-BE32-E72D297353CC}">
              <c16:uniqueId val="{00000000-58CC-4080-AEAB-42870C3840A1}"/>
            </c:ext>
          </c:extLst>
        </c:ser>
        <c:dLbls>
          <c:showLegendKey val="0"/>
          <c:showVal val="0"/>
          <c:showCatName val="0"/>
          <c:showSerName val="0"/>
          <c:showPercent val="0"/>
          <c:showBubbleSize val="0"/>
        </c:dLbls>
        <c:axId val="421707240"/>
        <c:axId val="421709040"/>
      </c:areaChart>
      <c:catAx>
        <c:axId val="421707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21709040"/>
        <c:crosses val="autoZero"/>
        <c:auto val="1"/>
        <c:lblAlgn val="ctr"/>
        <c:lblOffset val="100"/>
        <c:noMultiLvlLbl val="0"/>
      </c:catAx>
      <c:valAx>
        <c:axId val="4217090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21707240"/>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Project.xlsx]PR!PivotTable1</c:name>
    <c:fmtId val="2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Patient</a:t>
            </a:r>
            <a:r>
              <a:rPr lang="en-US" sz="2000" b="1" baseline="0"/>
              <a:t> Wait Time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PR!$G$9</c:f>
              <c:strCache>
                <c:ptCount val="1"/>
                <c:pt idx="0">
                  <c:v>Total</c:v>
                </c:pt>
              </c:strCache>
            </c:strRef>
          </c:tx>
          <c:spPr>
            <a:solidFill>
              <a:schemeClr val="accent1"/>
            </a:solidFill>
            <a:ln>
              <a:noFill/>
            </a:ln>
            <a:effectLst/>
          </c:spPr>
          <c:cat>
            <c:strRef>
              <c:f>PR!$F$10:$F$40</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PR!$G$10:$G$40</c:f>
              <c:numCache>
                <c:formatCode>0.00</c:formatCode>
                <c:ptCount val="30"/>
                <c:pt idx="0">
                  <c:v>34.279069767441861</c:v>
                </c:pt>
                <c:pt idx="1">
                  <c:v>36.222222222222221</c:v>
                </c:pt>
                <c:pt idx="2">
                  <c:v>35.904761904761905</c:v>
                </c:pt>
                <c:pt idx="3">
                  <c:v>32.53125</c:v>
                </c:pt>
                <c:pt idx="4">
                  <c:v>33.84375</c:v>
                </c:pt>
                <c:pt idx="5">
                  <c:v>35.214285714285715</c:v>
                </c:pt>
                <c:pt idx="6">
                  <c:v>37.21875</c:v>
                </c:pt>
                <c:pt idx="7">
                  <c:v>36.871794871794869</c:v>
                </c:pt>
                <c:pt idx="8">
                  <c:v>36.450000000000003</c:v>
                </c:pt>
                <c:pt idx="9">
                  <c:v>32.935483870967744</c:v>
                </c:pt>
                <c:pt idx="10">
                  <c:v>41.323529411764703</c:v>
                </c:pt>
                <c:pt idx="11">
                  <c:v>34.432432432432435</c:v>
                </c:pt>
                <c:pt idx="12">
                  <c:v>36.966666666666669</c:v>
                </c:pt>
                <c:pt idx="13">
                  <c:v>39.520000000000003</c:v>
                </c:pt>
                <c:pt idx="14">
                  <c:v>36.026315789473685</c:v>
                </c:pt>
                <c:pt idx="15">
                  <c:v>32.370370370370374</c:v>
                </c:pt>
                <c:pt idx="16">
                  <c:v>33.243243243243242</c:v>
                </c:pt>
                <c:pt idx="17">
                  <c:v>33.575757575757578</c:v>
                </c:pt>
                <c:pt idx="18">
                  <c:v>31.130434782608695</c:v>
                </c:pt>
                <c:pt idx="19">
                  <c:v>36.888888888888886</c:v>
                </c:pt>
                <c:pt idx="20">
                  <c:v>29.862068965517242</c:v>
                </c:pt>
                <c:pt idx="21">
                  <c:v>36.526315789473685</c:v>
                </c:pt>
                <c:pt idx="22">
                  <c:v>34.571428571428569</c:v>
                </c:pt>
                <c:pt idx="23">
                  <c:v>38.5</c:v>
                </c:pt>
                <c:pt idx="24">
                  <c:v>37.12903225806452</c:v>
                </c:pt>
                <c:pt idx="25">
                  <c:v>33.852941176470587</c:v>
                </c:pt>
                <c:pt idx="26">
                  <c:v>37.230769230769234</c:v>
                </c:pt>
                <c:pt idx="27">
                  <c:v>36.075000000000003</c:v>
                </c:pt>
                <c:pt idx="28">
                  <c:v>34.354838709677416</c:v>
                </c:pt>
                <c:pt idx="29">
                  <c:v>39.571428571428569</c:v>
                </c:pt>
              </c:numCache>
            </c:numRef>
          </c:val>
          <c:extLst>
            <c:ext xmlns:c16="http://schemas.microsoft.com/office/drawing/2014/chart" uri="{C3380CC4-5D6E-409C-BE32-E72D297353CC}">
              <c16:uniqueId val="{00000000-8B6C-4925-9F02-75DB735B2925}"/>
            </c:ext>
          </c:extLst>
        </c:ser>
        <c:dLbls>
          <c:showLegendKey val="0"/>
          <c:showVal val="0"/>
          <c:showCatName val="0"/>
          <c:showSerName val="0"/>
          <c:showPercent val="0"/>
          <c:showBubbleSize val="0"/>
        </c:dLbls>
        <c:axId val="752321504"/>
        <c:axId val="752324744"/>
      </c:areaChart>
      <c:catAx>
        <c:axId val="752321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PK"/>
          </a:p>
        </c:txPr>
        <c:crossAx val="752324744"/>
        <c:crosses val="autoZero"/>
        <c:auto val="1"/>
        <c:lblAlgn val="ctr"/>
        <c:lblOffset val="100"/>
        <c:noMultiLvlLbl val="0"/>
      </c:catAx>
      <c:valAx>
        <c:axId val="75232474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52321504"/>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Project.xlsx]PR!PivotTable6</c:name>
    <c:fmtId val="9"/>
  </c:pivotSource>
  <c:chart>
    <c:title>
      <c:tx>
        <c:rich>
          <a:bodyPr rot="0" spcFirstLastPara="1" vertOverflow="ellipsis" vert="horz" wrap="square" anchor="ctr" anchorCtr="1"/>
          <a:lstStyle/>
          <a:p>
            <a:pPr>
              <a:defRPr sz="2400" b="1" i="0" u="none" strike="noStrike" kern="1200" cap="all" spc="100" normalizeH="0" baseline="0">
                <a:solidFill>
                  <a:schemeClr val="bg1"/>
                </a:solidFill>
                <a:latin typeface="+mn-lt"/>
                <a:ea typeface="+mn-ea"/>
                <a:cs typeface="+mn-cs"/>
              </a:defRPr>
            </a:pPr>
            <a:r>
              <a:rPr lang="en-US" sz="2400" b="1">
                <a:solidFill>
                  <a:schemeClr val="bg1"/>
                </a:solidFill>
                <a:latin typeface="Calibri(body)"/>
                <a:ea typeface="Calibri" panose="020F0502020204030204" pitchFamily="34" charset="0"/>
                <a:cs typeface="Calibri" panose="020F0502020204030204" pitchFamily="34" charset="0"/>
              </a:rPr>
              <a:t>No. of Patient</a:t>
            </a:r>
            <a:endParaRPr lang="en-PK" sz="2400" b="1">
              <a:solidFill>
                <a:schemeClr val="bg1"/>
              </a:solidFill>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2400" b="1" i="0" u="none" strike="noStrike" kern="1200" cap="all" spc="100" normalizeH="0" baseline="0">
              <a:solidFill>
                <a:schemeClr val="bg1"/>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PR!$K$8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PR!$J$9:$J$39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PR!$K$9:$K$39</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C222-44D0-AC7B-4B28E1CADE2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3154831"/>
        <c:axId val="73151231"/>
      </c:areaChart>
      <c:catAx>
        <c:axId val="731548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PK"/>
          </a:p>
        </c:txPr>
        <c:crossAx val="73151231"/>
        <c:crosses val="autoZero"/>
        <c:auto val="1"/>
        <c:lblAlgn val="ctr"/>
        <c:lblOffset val="100"/>
        <c:noMultiLvlLbl val="0"/>
      </c:catAx>
      <c:valAx>
        <c:axId val="73151231"/>
        <c:scaling>
          <c:orientation val="minMax"/>
        </c:scaling>
        <c:delete val="1"/>
        <c:axPos val="l"/>
        <c:numFmt formatCode="General" sourceLinked="1"/>
        <c:majorTickMark val="out"/>
        <c:minorTickMark val="none"/>
        <c:tickLblPos val="nextTo"/>
        <c:crossAx val="73154831"/>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P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Project.xlsx]PR!PivotTable7</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B w="127000"/>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no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B w="127000"/>
          </a:sp3d>
        </c:spPr>
        <c:dLbl>
          <c:idx val="0"/>
          <c:tx>
            <c:rich>
              <a:bodyPr rot="0" spcFirstLastPara="1" vertOverflow="ellipsis" horzOverflow="clip" vert="horz" wrap="none" lIns="38100" tIns="19050" rIns="38100" bIns="0" anchor="ctr" anchorCtr="1">
                <a:spAutoFit/>
              </a:bodyPr>
              <a:lstStyle/>
              <a:p>
                <a:pPr>
                  <a:defRPr sz="600" b="0" i="0" u="none" strike="noStrike" kern="1200" baseline="0">
                    <a:solidFill>
                      <a:schemeClr val="accent1"/>
                    </a:solidFill>
                    <a:latin typeface="+mn-lt"/>
                    <a:ea typeface="+mn-ea"/>
                    <a:cs typeface="+mn-cs"/>
                  </a:defRPr>
                </a:pPr>
                <a:fld id="{E98ACEA2-86D9-45DA-B87E-6B3855A673C1}" type="CELLRANGE">
                  <a:rPr lang="en-US"/>
                  <a:pPr>
                    <a:defRPr sz="600" b="0" i="0" u="none" strike="noStrike" kern="1200" baseline="0">
                      <a:solidFill>
                        <a:schemeClr val="accent1"/>
                      </a:solidFill>
                      <a:latin typeface="+mn-lt"/>
                      <a:ea typeface="+mn-ea"/>
                      <a:cs typeface="+mn-cs"/>
                    </a:defRPr>
                  </a:pPr>
                  <a:t>[CELLRANGE]</a:t>
                </a:fld>
                <a:endParaRPr lang="en-PK"/>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B w="1270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E4659D5-91D8-484B-89DF-A7A0BFF918F1}" type="CELLRANGE">
                  <a:rPr lang="en-US"/>
                  <a:pPr>
                    <a:defRPr sz="900" b="0" i="0" u="none" strike="noStrike" kern="1200" baseline="0">
                      <a:solidFill>
                        <a:schemeClr val="lt1">
                          <a:lumMod val="85000"/>
                        </a:schemeClr>
                      </a:solidFill>
                      <a:latin typeface="+mn-lt"/>
                      <a:ea typeface="+mn-ea"/>
                      <a:cs typeface="+mn-cs"/>
                    </a:defRPr>
                  </a:pPr>
                  <a:t>[CELLRANGE]</a:t>
                </a:fld>
                <a:endParaRPr lang="en-PK"/>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B w="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B w="127000"/>
          </a:sp3d>
        </c:spPr>
        <c:dLbl>
          <c:idx val="0"/>
          <c:tx>
            <c:rich>
              <a:bodyPr rot="0" spcFirstLastPara="1" vertOverflow="ellipsis" horzOverflow="clip" vert="horz" wrap="none" lIns="38100" tIns="19050" rIns="38100" bIns="0" anchor="ctr" anchorCtr="1">
                <a:spAutoFit/>
              </a:bodyPr>
              <a:lstStyle/>
              <a:p>
                <a:pPr>
                  <a:defRPr sz="600" b="0" i="0" u="none" strike="noStrike" kern="1200" baseline="0">
                    <a:solidFill>
                      <a:schemeClr val="accent1"/>
                    </a:solidFill>
                    <a:latin typeface="+mn-lt"/>
                    <a:ea typeface="+mn-ea"/>
                    <a:cs typeface="+mn-cs"/>
                  </a:defRPr>
                </a:pPr>
                <a:fld id="{E98ACEA2-86D9-45DA-B87E-6B3855A673C1}" type="CELLRANGE">
                  <a:rPr lang="en-US"/>
                  <a:pPr>
                    <a:defRPr sz="600" b="0" i="0" u="none" strike="noStrike" kern="1200" baseline="0">
                      <a:solidFill>
                        <a:schemeClr val="accent1"/>
                      </a:solidFill>
                      <a:latin typeface="+mn-lt"/>
                      <a:ea typeface="+mn-ea"/>
                      <a:cs typeface="+mn-cs"/>
                    </a:defRPr>
                  </a:pPr>
                  <a:t>[CELLRANGE]</a:t>
                </a:fld>
                <a:endParaRPr lang="en-PK"/>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B w="1270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E4659D5-91D8-484B-89DF-A7A0BFF918F1}" type="CELLRANGE">
                  <a:rPr lang="en-US"/>
                  <a:pPr>
                    <a:defRPr sz="900" b="0" i="0" u="none" strike="noStrike" kern="1200" baseline="0">
                      <a:solidFill>
                        <a:schemeClr val="lt1">
                          <a:lumMod val="85000"/>
                        </a:schemeClr>
                      </a:solidFill>
                      <a:latin typeface="+mn-lt"/>
                      <a:ea typeface="+mn-ea"/>
                      <a:cs typeface="+mn-cs"/>
                    </a:defRPr>
                  </a:pPr>
                  <a:t>[CELLRANGE]</a:t>
                </a:fld>
                <a:endParaRPr lang="en-PK"/>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no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a:bevelB w="127000"/>
          </a:sp3d>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accent1"/>
                  </a:solidFill>
                  <a:latin typeface="+mn-lt"/>
                  <a:ea typeface="+mn-ea"/>
                  <a:cs typeface="+mn-cs"/>
                </a:defRPr>
              </a:pPr>
              <a:endParaRPr lang="en-PK"/>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a:bevelB w="127000"/>
          </a:sp3d>
        </c:spPr>
        <c:dLbl>
          <c:idx val="0"/>
          <c:tx>
            <c:rich>
              <a:bodyPr rot="0" spcFirstLastPara="1" vertOverflow="ellipsis" horzOverflow="clip" vert="horz" wrap="none" lIns="38100" tIns="19050" rIns="38100" bIns="0" anchor="ctr" anchorCtr="1">
                <a:spAutoFit/>
              </a:bodyPr>
              <a:lstStyle/>
              <a:p>
                <a:pPr>
                  <a:defRPr sz="600" b="0" i="0" u="none" strike="noStrike" kern="1200" baseline="0">
                    <a:solidFill>
                      <a:schemeClr val="accent1"/>
                    </a:solidFill>
                    <a:latin typeface="+mn-lt"/>
                    <a:ea typeface="+mn-ea"/>
                    <a:cs typeface="+mn-cs"/>
                  </a:defRPr>
                </a:pPr>
                <a:fld id="{230EA2FD-6D21-464C-8CBF-C825A9EAB248}" type="CELLRANGE">
                  <a:rPr lang="en-US" sz="600">
                    <a:solidFill>
                      <a:schemeClr val="accent1"/>
                    </a:solidFill>
                  </a:rPr>
                  <a:pPr>
                    <a:defRPr sz="600" b="0" i="0" u="none" strike="noStrike" kern="1200" baseline="0">
                      <a:solidFill>
                        <a:schemeClr val="accent1"/>
                      </a:solidFill>
                      <a:latin typeface="+mn-lt"/>
                      <a:ea typeface="+mn-ea"/>
                      <a:cs typeface="+mn-cs"/>
                    </a:defRPr>
                  </a:pPr>
                  <a:t>[CELLRANGE]</a:t>
                </a:fld>
                <a:endParaRPr lang="en-PK"/>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0"/>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accent1"/>
                    </a:solidFill>
                    <a:latin typeface="+mn-lt"/>
                    <a:ea typeface="+mn-ea"/>
                    <a:cs typeface="+mn-cs"/>
                  </a:defRPr>
                </a:pPr>
                <a:fld id="{BDB61CD8-C253-4937-BEA5-0FEFE205DE88}" type="CELLRANGE">
                  <a:rPr lang="en-PK"/>
                  <a:pPr>
                    <a:defRPr sz="600" b="0" i="0" u="none" strike="noStrike" kern="1200" baseline="0">
                      <a:solidFill>
                        <a:schemeClr val="accent1"/>
                      </a:solidFill>
                      <a:latin typeface="+mn-lt"/>
                      <a:ea typeface="+mn-ea"/>
                      <a:cs typeface="+mn-cs"/>
                    </a:defRPr>
                  </a:pPr>
                  <a:t>[CELLRANGE]</a:t>
                </a:fld>
                <a:endParaRPr lang="en-PK"/>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11"/>
        <c:spPr>
          <a:no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4216490085962566E-2"/>
          <c:y val="0.1387631866000652"/>
          <c:w val="0.85156701982807492"/>
          <c:h val="0.69934642903319211"/>
        </c:manualLayout>
      </c:layout>
      <c:barChart>
        <c:barDir val="bar"/>
        <c:grouping val="clustered"/>
        <c:varyColors val="0"/>
        <c:ser>
          <c:idx val="0"/>
          <c:order val="0"/>
          <c:tx>
            <c:strRef>
              <c:f>PR!$C$45:$C$46</c:f>
              <c:strCache>
                <c:ptCount val="1"/>
                <c:pt idx="0">
                  <c:v>Count of Patient Admission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a:bevelB w="127000"/>
            </a:sp3d>
          </c:spPr>
          <c:invertIfNegative val="0"/>
          <c:dPt>
            <c:idx val="0"/>
            <c:invertIfNegative val="0"/>
            <c:bubble3D val="0"/>
            <c:extLst>
              <c:ext xmlns:c16="http://schemas.microsoft.com/office/drawing/2014/chart" uri="{C3380CC4-5D6E-409C-BE32-E72D297353CC}">
                <c16:uniqueId val="{00000000-5597-42B4-860D-CC8DE6AEFB8D}"/>
              </c:ext>
            </c:extLst>
          </c:dPt>
          <c:dLbls>
            <c:dLbl>
              <c:idx val="0"/>
              <c:tx>
                <c:rich>
                  <a:bodyPr rot="0" spcFirstLastPara="1" vertOverflow="ellipsis" horzOverflow="clip" vert="horz" wrap="none" lIns="38100" tIns="19050" rIns="38100" bIns="0" anchor="ctr" anchorCtr="1">
                    <a:spAutoFit/>
                  </a:bodyPr>
                  <a:lstStyle/>
                  <a:p>
                    <a:pPr>
                      <a:defRPr sz="600" b="0" i="0" u="none" strike="noStrike" kern="1200" baseline="0">
                        <a:solidFill>
                          <a:schemeClr val="accent1"/>
                        </a:solidFill>
                        <a:latin typeface="+mn-lt"/>
                        <a:ea typeface="+mn-ea"/>
                        <a:cs typeface="+mn-cs"/>
                      </a:defRPr>
                    </a:pPr>
                    <a:fld id="{230EA2FD-6D21-464C-8CBF-C825A9EAB248}" type="CELLRANGE">
                      <a:rPr lang="en-US" sz="600">
                        <a:solidFill>
                          <a:schemeClr val="accent1"/>
                        </a:solidFill>
                      </a:rPr>
                      <a:pPr>
                        <a:defRPr sz="600" b="0" i="0" u="none" strike="noStrike" kern="1200" baseline="0">
                          <a:solidFill>
                            <a:schemeClr val="accent1"/>
                          </a:solidFill>
                          <a:latin typeface="+mn-lt"/>
                          <a:ea typeface="+mn-ea"/>
                          <a:cs typeface="+mn-cs"/>
                        </a:defRPr>
                      </a:pPr>
                      <a:t>[CELLRANGE]</a:t>
                    </a:fld>
                    <a:endParaRPr lang="en-PK"/>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0-5597-42B4-860D-CC8DE6AEFB8D}"/>
                </c:ext>
              </c:extLst>
            </c:dLbl>
            <c:dLbl>
              <c:idx val="1"/>
              <c:tx>
                <c:rich>
                  <a:bodyPr/>
                  <a:lstStyle/>
                  <a:p>
                    <a:fld id="{BDB61CD8-C253-4937-BEA5-0FEFE205DE88}" type="CELLRANGE">
                      <a:rPr lang="en-PK"/>
                      <a:pPr/>
                      <a:t>[CELLRANGE]</a:t>
                    </a:fld>
                    <a:endParaRPr lang="en-PK"/>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597-42B4-860D-CC8DE6AEFB8D}"/>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accent1"/>
                    </a:solidFill>
                    <a:latin typeface="+mn-lt"/>
                    <a:ea typeface="+mn-ea"/>
                    <a:cs typeface="+mn-cs"/>
                  </a:defRPr>
                </a:pPr>
                <a:endParaRPr lang="en-PK"/>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a:solidFill>
                        <a:schemeClr val="lt1">
                          <a:lumMod val="95000"/>
                          <a:alpha val="54000"/>
                        </a:schemeClr>
                      </a:solidFill>
                    </a:ln>
                    <a:effectLst/>
                  </c:spPr>
                </c15:leaderLines>
              </c:ext>
            </c:extLst>
          </c:dLbls>
          <c:cat>
            <c:strRef>
              <c:f>PR!$C$45:$C$46</c:f>
              <c:strCache>
                <c:ptCount val="2"/>
                <c:pt idx="0">
                  <c:v>Admitted</c:v>
                </c:pt>
                <c:pt idx="1">
                  <c:v>Not Admitted</c:v>
                </c:pt>
              </c:strCache>
            </c:strRef>
          </c:cat>
          <c:val>
            <c:numRef>
              <c:f>PR!$C$45:$C$46</c:f>
              <c:numCache>
                <c:formatCode>0</c:formatCode>
                <c:ptCount val="2"/>
                <c:pt idx="0">
                  <c:v>487</c:v>
                </c:pt>
                <c:pt idx="1">
                  <c:v>504</c:v>
                </c:pt>
              </c:numCache>
            </c:numRef>
          </c:val>
          <c:extLst>
            <c:ext xmlns:c15="http://schemas.microsoft.com/office/drawing/2012/chart" uri="{02D57815-91ED-43cb-92C2-25804820EDAC}">
              <c15:datalabelsRange>
                <c15:f>PR!$C$45:$C$46</c15:f>
                <c15:dlblRangeCache>
                  <c:ptCount val="2"/>
                  <c:pt idx="0">
                    <c:v>49.14%</c:v>
                  </c:pt>
                  <c:pt idx="1">
                    <c:v>50.86%</c:v>
                  </c:pt>
                </c15:dlblRangeCache>
              </c15:datalabelsRange>
            </c:ext>
            <c:ext xmlns:c16="http://schemas.microsoft.com/office/drawing/2014/chart" uri="{C3380CC4-5D6E-409C-BE32-E72D297353CC}">
              <c16:uniqueId val="{00000002-5597-42B4-860D-CC8DE6AEFB8D}"/>
            </c:ext>
          </c:extLst>
        </c:ser>
        <c:ser>
          <c:idx val="1"/>
          <c:order val="1"/>
          <c:tx>
            <c:strRef>
              <c:f>PR!$C$45:$C$46</c:f>
              <c:strCache>
                <c:ptCount val="1"/>
                <c:pt idx="0">
                  <c:v>Count of Patient Admission Flag2</c:v>
                </c:pt>
              </c:strCache>
            </c:strRef>
          </c:tx>
          <c:spPr>
            <a:noFill/>
            <a:ln>
              <a:noFill/>
            </a:ln>
            <a:effectLst>
              <a:outerShdw blurRad="57150" dist="19050" dir="5400000" algn="ctr" rotWithShape="0">
                <a:srgbClr val="000000">
                  <a:alpha val="63000"/>
                </a:srgbClr>
              </a:outerShdw>
            </a:effectLst>
          </c:spPr>
          <c:invertIfNegative val="0"/>
          <c:cat>
            <c:strRef>
              <c:f>PR!$C$45:$C$46</c:f>
              <c:strCache>
                <c:ptCount val="2"/>
                <c:pt idx="0">
                  <c:v>Admitted</c:v>
                </c:pt>
                <c:pt idx="1">
                  <c:v>Not Admitted</c:v>
                </c:pt>
              </c:strCache>
            </c:strRef>
          </c:cat>
          <c:val>
            <c:numRef>
              <c:f>PR!$C$45:$C$46</c:f>
              <c:numCache>
                <c:formatCode>0.00%</c:formatCode>
                <c:ptCount val="2"/>
                <c:pt idx="0">
                  <c:v>0.49142280524722504</c:v>
                </c:pt>
                <c:pt idx="1">
                  <c:v>0.50857719475277496</c:v>
                </c:pt>
              </c:numCache>
            </c:numRef>
          </c:val>
          <c:extLst>
            <c:ext xmlns:c16="http://schemas.microsoft.com/office/drawing/2014/chart" uri="{C3380CC4-5D6E-409C-BE32-E72D297353CC}">
              <c16:uniqueId val="{00000003-5597-42B4-860D-CC8DE6AEFB8D}"/>
            </c:ext>
          </c:extLst>
        </c:ser>
        <c:dLbls>
          <c:showLegendKey val="0"/>
          <c:showVal val="0"/>
          <c:showCatName val="0"/>
          <c:showSerName val="0"/>
          <c:showPercent val="0"/>
          <c:showBubbleSize val="0"/>
        </c:dLbls>
        <c:gapWidth val="0"/>
        <c:overlap val="28"/>
        <c:axId val="679531840"/>
        <c:axId val="679521400"/>
      </c:barChart>
      <c:catAx>
        <c:axId val="679531840"/>
        <c:scaling>
          <c:orientation val="minMax"/>
        </c:scaling>
        <c:delete val="1"/>
        <c:axPos val="l"/>
        <c:numFmt formatCode="General" sourceLinked="1"/>
        <c:majorTickMark val="out"/>
        <c:minorTickMark val="none"/>
        <c:tickLblPos val="nextTo"/>
        <c:crossAx val="679521400"/>
        <c:crosses val="autoZero"/>
        <c:auto val="1"/>
        <c:lblAlgn val="ctr"/>
        <c:lblOffset val="100"/>
        <c:noMultiLvlLbl val="0"/>
      </c:catAx>
      <c:valAx>
        <c:axId val="679521400"/>
        <c:scaling>
          <c:orientation val="minMax"/>
        </c:scaling>
        <c:delete val="1"/>
        <c:axPos val="b"/>
        <c:numFmt formatCode="0" sourceLinked="1"/>
        <c:majorTickMark val="out"/>
        <c:minorTickMark val="none"/>
        <c:tickLblPos val="nextTo"/>
        <c:crossAx val="67953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 Daily Score'!A1"/><Relationship Id="rId1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2.xml"/><Relationship Id="rId17" Type="http://schemas.openxmlformats.org/officeDocument/2006/relationships/chart" Target="../charts/chart5.xml"/><Relationship Id="rId2" Type="http://schemas.microsoft.com/office/2007/relationships/hdphoto" Target="../media/hdphoto1.wdp"/><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hyperlink" Target="#'Patient Wait Time'!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1.xml"/><Relationship Id="rId19"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hyperlink" Target="#'Daily Report of Patient'!A1"/><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5.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6.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3.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91871</xdr:colOff>
      <xdr:row>5</xdr:row>
      <xdr:rowOff>69586</xdr:rowOff>
    </xdr:from>
    <xdr:to>
      <xdr:col>7</xdr:col>
      <xdr:colOff>45117</xdr:colOff>
      <xdr:row>9</xdr:row>
      <xdr:rowOff>130969</xdr:rowOff>
    </xdr:to>
    <xdr:sp macro="" textlink="">
      <xdr:nvSpPr>
        <xdr:cNvPr id="10" name="Rectangle: Rounded Corners 9">
          <a:extLst>
            <a:ext uri="{FF2B5EF4-FFF2-40B4-BE49-F238E27FC236}">
              <a16:creationId xmlns:a16="http://schemas.microsoft.com/office/drawing/2014/main" id="{BF66483D-5391-E623-4E90-C1FE428930E9}"/>
            </a:ext>
          </a:extLst>
        </xdr:cNvPr>
        <xdr:cNvSpPr/>
      </xdr:nvSpPr>
      <xdr:spPr>
        <a:xfrm>
          <a:off x="3149897" y="1022086"/>
          <a:ext cx="1176457" cy="823383"/>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50201</xdr:colOff>
      <xdr:row>5</xdr:row>
      <xdr:rowOff>69586</xdr:rowOff>
    </xdr:from>
    <xdr:to>
      <xdr:col>4</xdr:col>
      <xdr:colOff>595004</xdr:colOff>
      <xdr:row>9</xdr:row>
      <xdr:rowOff>130969</xdr:rowOff>
    </xdr:to>
    <xdr:sp macro="" textlink="">
      <xdr:nvSpPr>
        <xdr:cNvPr id="8" name="Rectangle: Rounded Corners 7">
          <a:extLst>
            <a:ext uri="{FF2B5EF4-FFF2-40B4-BE49-F238E27FC236}">
              <a16:creationId xmlns:a16="http://schemas.microsoft.com/office/drawing/2014/main" id="{B63C285D-F8FC-1596-4A32-6C2886275FC1}"/>
            </a:ext>
          </a:extLst>
        </xdr:cNvPr>
        <xdr:cNvSpPr/>
      </xdr:nvSpPr>
      <xdr:spPr>
        <a:xfrm>
          <a:off x="1871857" y="1022086"/>
          <a:ext cx="1152022" cy="823383"/>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0</xdr:col>
      <xdr:colOff>64558</xdr:colOff>
      <xdr:row>2</xdr:row>
      <xdr:rowOff>81492</xdr:rowOff>
    </xdr:from>
    <xdr:to>
      <xdr:col>5</xdr:col>
      <xdr:colOff>223100</xdr:colOff>
      <xdr:row>5</xdr:row>
      <xdr:rowOff>3192</xdr:rowOff>
    </xdr:to>
    <xdr:sp macro="" textlink="">
      <xdr:nvSpPr>
        <xdr:cNvPr id="2" name="Rectangle: Rounded Corners 1">
          <a:extLst>
            <a:ext uri="{FF2B5EF4-FFF2-40B4-BE49-F238E27FC236}">
              <a16:creationId xmlns:a16="http://schemas.microsoft.com/office/drawing/2014/main" id="{0EBA390F-F5B4-1932-5ABC-0334E3655A69}"/>
            </a:ext>
          </a:extLst>
        </xdr:cNvPr>
        <xdr:cNvSpPr/>
      </xdr:nvSpPr>
      <xdr:spPr>
        <a:xfrm>
          <a:off x="64558" y="462492"/>
          <a:ext cx="3220149" cy="493200"/>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5</xdr:col>
      <xdr:colOff>294279</xdr:colOff>
      <xdr:row>2</xdr:row>
      <xdr:rowOff>81492</xdr:rowOff>
    </xdr:from>
    <xdr:to>
      <xdr:col>7</xdr:col>
      <xdr:colOff>44823</xdr:colOff>
      <xdr:row>5</xdr:row>
      <xdr:rowOff>3192</xdr:rowOff>
    </xdr:to>
    <xdr:sp macro="" textlink="">
      <xdr:nvSpPr>
        <xdr:cNvPr id="3" name="Rectangle: Rounded Corners 2">
          <a:extLst>
            <a:ext uri="{FF2B5EF4-FFF2-40B4-BE49-F238E27FC236}">
              <a16:creationId xmlns:a16="http://schemas.microsoft.com/office/drawing/2014/main" id="{557AA544-4C25-CE5C-5FA1-C0E676EF933A}"/>
            </a:ext>
          </a:extLst>
        </xdr:cNvPr>
        <xdr:cNvSpPr/>
      </xdr:nvSpPr>
      <xdr:spPr>
        <a:xfrm>
          <a:off x="3355886" y="462492"/>
          <a:ext cx="975187" cy="493200"/>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57963</xdr:colOff>
      <xdr:row>5</xdr:row>
      <xdr:rowOff>70227</xdr:rowOff>
    </xdr:from>
    <xdr:to>
      <xdr:col>0</xdr:col>
      <xdr:colOff>551163</xdr:colOff>
      <xdr:row>21</xdr:row>
      <xdr:rowOff>172640</xdr:rowOff>
    </xdr:to>
    <xdr:sp macro="" textlink="">
      <xdr:nvSpPr>
        <xdr:cNvPr id="7" name="Rectangle: Rounded Corners 6">
          <a:extLst>
            <a:ext uri="{FF2B5EF4-FFF2-40B4-BE49-F238E27FC236}">
              <a16:creationId xmlns:a16="http://schemas.microsoft.com/office/drawing/2014/main" id="{B24B7013-CC14-8A80-4E8D-CB805291E727}"/>
            </a:ext>
          </a:extLst>
        </xdr:cNvPr>
        <xdr:cNvSpPr/>
      </xdr:nvSpPr>
      <xdr:spPr>
        <a:xfrm rot="5400000">
          <a:off x="-1270644" y="2351334"/>
          <a:ext cx="3150413" cy="493200"/>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xdr:col>
      <xdr:colOff>26388</xdr:colOff>
      <xdr:row>5</xdr:row>
      <xdr:rowOff>69586</xdr:rowOff>
    </xdr:from>
    <xdr:to>
      <xdr:col>2</xdr:col>
      <xdr:colOff>571191</xdr:colOff>
      <xdr:row>9</xdr:row>
      <xdr:rowOff>130969</xdr:rowOff>
    </xdr:to>
    <xdr:sp macro="" textlink="">
      <xdr:nvSpPr>
        <xdr:cNvPr id="9" name="Rectangle: Rounded Corners 8">
          <a:extLst>
            <a:ext uri="{FF2B5EF4-FFF2-40B4-BE49-F238E27FC236}">
              <a16:creationId xmlns:a16="http://schemas.microsoft.com/office/drawing/2014/main" id="{FC1FAD0D-B841-0CCD-A372-5D11BA778D3C}"/>
            </a:ext>
          </a:extLst>
        </xdr:cNvPr>
        <xdr:cNvSpPr/>
      </xdr:nvSpPr>
      <xdr:spPr>
        <a:xfrm>
          <a:off x="633607" y="1022086"/>
          <a:ext cx="1152022" cy="823383"/>
        </a:xfrm>
        <a:prstGeom prst="roundRect">
          <a:avLst>
            <a:gd name="adj" fmla="val 83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xdr:col>
      <xdr:colOff>34791</xdr:colOff>
      <xdr:row>13</xdr:row>
      <xdr:rowOff>119062</xdr:rowOff>
    </xdr:from>
    <xdr:to>
      <xdr:col>7</xdr:col>
      <xdr:colOff>35718</xdr:colOff>
      <xdr:row>21</xdr:row>
      <xdr:rowOff>171568</xdr:rowOff>
    </xdr:to>
    <xdr:sp macro="" textlink="">
      <xdr:nvSpPr>
        <xdr:cNvPr id="22" name="Rectangle: Rounded Corners 21">
          <a:extLst>
            <a:ext uri="{FF2B5EF4-FFF2-40B4-BE49-F238E27FC236}">
              <a16:creationId xmlns:a16="http://schemas.microsoft.com/office/drawing/2014/main" id="{C93B08FE-99A1-CC1A-9D0C-B30FBBC1DE88}"/>
            </a:ext>
          </a:extLst>
        </xdr:cNvPr>
        <xdr:cNvSpPr/>
      </xdr:nvSpPr>
      <xdr:spPr>
        <a:xfrm>
          <a:off x="644154" y="2580180"/>
          <a:ext cx="3657107" cy="1567040"/>
        </a:xfrm>
        <a:prstGeom prst="roundRect">
          <a:avLst>
            <a:gd name="adj" fmla="val 34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9</xdr:col>
      <xdr:colOff>353810</xdr:colOff>
      <xdr:row>2</xdr:row>
      <xdr:rowOff>81490</xdr:rowOff>
    </xdr:from>
    <xdr:to>
      <xdr:col>11</xdr:col>
      <xdr:colOff>500063</xdr:colOff>
      <xdr:row>9</xdr:row>
      <xdr:rowOff>24937</xdr:rowOff>
    </xdr:to>
    <xdr:sp macro="" textlink="">
      <xdr:nvSpPr>
        <xdr:cNvPr id="5" name="Rectangle: Rounded Corners 4">
          <a:extLst>
            <a:ext uri="{FF2B5EF4-FFF2-40B4-BE49-F238E27FC236}">
              <a16:creationId xmlns:a16="http://schemas.microsoft.com/office/drawing/2014/main" id="{12F1E3B3-DA4E-03E1-742D-4ABCED6B0F73}"/>
            </a:ext>
          </a:extLst>
        </xdr:cNvPr>
        <xdr:cNvSpPr/>
      </xdr:nvSpPr>
      <xdr:spPr>
        <a:xfrm>
          <a:off x="5818779" y="462490"/>
          <a:ext cx="1360690" cy="1276947"/>
        </a:xfrm>
        <a:prstGeom prst="roundRect">
          <a:avLst>
            <a:gd name="adj" fmla="val 62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121639</xdr:colOff>
      <xdr:row>2</xdr:row>
      <xdr:rowOff>81490</xdr:rowOff>
    </xdr:from>
    <xdr:to>
      <xdr:col>9</xdr:col>
      <xdr:colOff>267891</xdr:colOff>
      <xdr:row>9</xdr:row>
      <xdr:rowOff>24937</xdr:rowOff>
    </xdr:to>
    <xdr:sp macro="" textlink="">
      <xdr:nvSpPr>
        <xdr:cNvPr id="6" name="Rectangle: Rounded Corners 5">
          <a:extLst>
            <a:ext uri="{FF2B5EF4-FFF2-40B4-BE49-F238E27FC236}">
              <a16:creationId xmlns:a16="http://schemas.microsoft.com/office/drawing/2014/main" id="{07473A52-0311-3742-5B0F-BFC5DF8D9473}"/>
            </a:ext>
          </a:extLst>
        </xdr:cNvPr>
        <xdr:cNvSpPr/>
      </xdr:nvSpPr>
      <xdr:spPr>
        <a:xfrm>
          <a:off x="4372170" y="462490"/>
          <a:ext cx="1360690" cy="1276947"/>
        </a:xfrm>
        <a:prstGeom prst="roundRect">
          <a:avLst>
            <a:gd name="adj" fmla="val 57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121638</xdr:colOff>
      <xdr:row>9</xdr:row>
      <xdr:rowOff>109631</xdr:rowOff>
    </xdr:from>
    <xdr:to>
      <xdr:col>11</xdr:col>
      <xdr:colOff>500062</xdr:colOff>
      <xdr:row>21</xdr:row>
      <xdr:rowOff>171567</xdr:rowOff>
    </xdr:to>
    <xdr:sp macro="" textlink="">
      <xdr:nvSpPr>
        <xdr:cNvPr id="24" name="Rectangle: Rounded Corners 23">
          <a:extLst>
            <a:ext uri="{FF2B5EF4-FFF2-40B4-BE49-F238E27FC236}">
              <a16:creationId xmlns:a16="http://schemas.microsoft.com/office/drawing/2014/main" id="{6CDED6E8-0CB6-33FD-FF90-6D611CA0312D}"/>
            </a:ext>
          </a:extLst>
        </xdr:cNvPr>
        <xdr:cNvSpPr/>
      </xdr:nvSpPr>
      <xdr:spPr>
        <a:xfrm>
          <a:off x="4372169" y="1824131"/>
          <a:ext cx="2807299" cy="2347936"/>
        </a:xfrm>
        <a:prstGeom prst="roundRect">
          <a:avLst>
            <a:gd name="adj" fmla="val 39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1</xdr:col>
      <xdr:colOff>35720</xdr:colOff>
      <xdr:row>1</xdr:row>
      <xdr:rowOff>136922</xdr:rowOff>
    </xdr:from>
    <xdr:to>
      <xdr:col>5</xdr:col>
      <xdr:colOff>291703</xdr:colOff>
      <xdr:row>5</xdr:row>
      <xdr:rowOff>11905</xdr:rowOff>
    </xdr:to>
    <xdr:sp macro="" textlink="">
      <xdr:nvSpPr>
        <xdr:cNvPr id="29" name="TextBox 28">
          <a:extLst>
            <a:ext uri="{FF2B5EF4-FFF2-40B4-BE49-F238E27FC236}">
              <a16:creationId xmlns:a16="http://schemas.microsoft.com/office/drawing/2014/main" id="{E1B38726-3847-C398-CBD9-7D303F0C43B0}"/>
            </a:ext>
          </a:extLst>
        </xdr:cNvPr>
        <xdr:cNvSpPr txBox="1"/>
      </xdr:nvSpPr>
      <xdr:spPr>
        <a:xfrm>
          <a:off x="648041" y="327422"/>
          <a:ext cx="2705269" cy="636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050" b="1">
              <a:solidFill>
                <a:schemeClr val="tx1"/>
              </a:solidFill>
              <a:latin typeface="+mj-lt"/>
              <a:ea typeface="Calibri" panose="020F0502020204030204" pitchFamily="34" charset="0"/>
              <a:cs typeface="Calibri" panose="020F0502020204030204" pitchFamily="34" charset="0"/>
            </a:rPr>
            <a:t>HOSPITAL EMERGENCY</a:t>
          </a:r>
          <a:r>
            <a:rPr lang="en-US" sz="1050" b="1" baseline="0">
              <a:solidFill>
                <a:schemeClr val="tx1"/>
              </a:solidFill>
              <a:latin typeface="+mj-lt"/>
              <a:ea typeface="Calibri" panose="020F0502020204030204" pitchFamily="34" charset="0"/>
              <a:cs typeface="Calibri" panose="020F0502020204030204" pitchFamily="34" charset="0"/>
            </a:rPr>
            <a:t> ROOM DASHBOARD</a:t>
          </a:r>
          <a:endParaRPr lang="en-PK" sz="1050" b="1">
            <a:solidFill>
              <a:schemeClr val="tx1"/>
            </a:solidFill>
            <a:latin typeface="+mj-lt"/>
            <a:ea typeface="Calibri" panose="020F0502020204030204" pitchFamily="34" charset="0"/>
            <a:cs typeface="Calibri" panose="020F0502020204030204" pitchFamily="34" charset="0"/>
          </a:endParaRPr>
        </a:p>
      </xdr:txBody>
    </xdr:sp>
    <xdr:clientData/>
  </xdr:twoCellAnchor>
  <xdr:twoCellAnchor editAs="oneCell">
    <xdr:from>
      <xdr:col>0</xdr:col>
      <xdr:colOff>83343</xdr:colOff>
      <xdr:row>2</xdr:row>
      <xdr:rowOff>83344</xdr:rowOff>
    </xdr:from>
    <xdr:to>
      <xdr:col>1</xdr:col>
      <xdr:colOff>17859</xdr:colOff>
      <xdr:row>5</xdr:row>
      <xdr:rowOff>21710</xdr:rowOff>
    </xdr:to>
    <xdr:pic>
      <xdr:nvPicPr>
        <xdr:cNvPr id="31" name="Picture 30">
          <a:extLst>
            <a:ext uri="{FF2B5EF4-FFF2-40B4-BE49-F238E27FC236}">
              <a16:creationId xmlns:a16="http://schemas.microsoft.com/office/drawing/2014/main" id="{CE39B038-D581-BB6E-8230-4A649AFF2357}"/>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l="20821" r="20186"/>
        <a:stretch>
          <a:fillRect/>
        </a:stretch>
      </xdr:blipFill>
      <xdr:spPr>
        <a:xfrm>
          <a:off x="83343" y="464344"/>
          <a:ext cx="546837" cy="509866"/>
        </a:xfrm>
        <a:prstGeom prst="rect">
          <a:avLst/>
        </a:prstGeom>
      </xdr:spPr>
    </xdr:pic>
    <xdr:clientData/>
  </xdr:twoCellAnchor>
  <xdr:twoCellAnchor editAs="absolute">
    <xdr:from>
      <xdr:col>1</xdr:col>
      <xdr:colOff>23814</xdr:colOff>
      <xdr:row>5</xdr:row>
      <xdr:rowOff>154782</xdr:rowOff>
    </xdr:from>
    <xdr:to>
      <xdr:col>2</xdr:col>
      <xdr:colOff>571499</xdr:colOff>
      <xdr:row>6</xdr:row>
      <xdr:rowOff>119062</xdr:rowOff>
    </xdr:to>
    <xdr:sp macro="" textlink="PR!A5">
      <xdr:nvSpPr>
        <xdr:cNvPr id="34" name="TextBox 33">
          <a:extLst>
            <a:ext uri="{FF2B5EF4-FFF2-40B4-BE49-F238E27FC236}">
              <a16:creationId xmlns:a16="http://schemas.microsoft.com/office/drawing/2014/main" id="{189F065C-AF9B-F402-1764-2B384AA13265}"/>
            </a:ext>
          </a:extLst>
        </xdr:cNvPr>
        <xdr:cNvSpPr txBox="1"/>
      </xdr:nvSpPr>
      <xdr:spPr>
        <a:xfrm>
          <a:off x="631033" y="1107282"/>
          <a:ext cx="1154904"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EC88B53-B404-4DD5-8170-277015E0CF18}" type="TxLink">
            <a:rPr lang="en-US" sz="1600" b="0" i="0" u="none" strike="noStrike">
              <a:solidFill>
                <a:srgbClr val="000000"/>
              </a:solidFill>
              <a:latin typeface="Aptos Narrow"/>
              <a:ea typeface="Calibri" panose="020F0502020204030204" pitchFamily="34" charset="0"/>
              <a:cs typeface="Calibri" panose="020F0502020204030204" pitchFamily="34" charset="0"/>
            </a:rPr>
            <a:pPr algn="ctr"/>
            <a:t>991</a:t>
          </a:fld>
          <a:endParaRPr lang="en-US" sz="1600" b="0">
            <a:ea typeface="Calibri" panose="020F0502020204030204" pitchFamily="34" charset="0"/>
            <a:cs typeface="Calibri" panose="020F0502020204030204" pitchFamily="34" charset="0"/>
          </a:endParaRPr>
        </a:p>
      </xdr:txBody>
    </xdr:sp>
    <xdr:clientData/>
  </xdr:twoCellAnchor>
  <xdr:twoCellAnchor editAs="absolute">
    <xdr:from>
      <xdr:col>2</xdr:col>
      <xdr:colOff>279798</xdr:colOff>
      <xdr:row>3</xdr:row>
      <xdr:rowOff>166688</xdr:rowOff>
    </xdr:from>
    <xdr:to>
      <xdr:col>3</xdr:col>
      <xdr:colOff>428625</xdr:colOff>
      <xdr:row>4</xdr:row>
      <xdr:rowOff>130968</xdr:rowOff>
    </xdr:to>
    <xdr:sp macro="" textlink="">
      <xdr:nvSpPr>
        <xdr:cNvPr id="32" name="TextBox 31">
          <a:extLst>
            <a:ext uri="{FF2B5EF4-FFF2-40B4-BE49-F238E27FC236}">
              <a16:creationId xmlns:a16="http://schemas.microsoft.com/office/drawing/2014/main" id="{003B40DE-7E67-0DA1-B4BC-8BE8BE2F2D38}"/>
            </a:ext>
          </a:extLst>
        </xdr:cNvPr>
        <xdr:cNvSpPr txBox="1"/>
      </xdr:nvSpPr>
      <xdr:spPr>
        <a:xfrm>
          <a:off x="1504441" y="738188"/>
          <a:ext cx="761148"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0">
              <a:solidFill>
                <a:schemeClr val="tx1"/>
              </a:solidFill>
              <a:latin typeface="+mj-lt"/>
              <a:ea typeface="Calibri" panose="020F0502020204030204" pitchFamily="34" charset="0"/>
              <a:cs typeface="Calibri" panose="020F0502020204030204" pitchFamily="34" charset="0"/>
            </a:rPr>
            <a:t>Monthly</a:t>
          </a:r>
          <a:r>
            <a:rPr lang="en-US" sz="900" b="0" baseline="0">
              <a:solidFill>
                <a:schemeClr val="tx1"/>
              </a:solidFill>
              <a:latin typeface="+mj-lt"/>
              <a:ea typeface="Calibri" panose="020F0502020204030204" pitchFamily="34" charset="0"/>
              <a:cs typeface="Calibri" panose="020F0502020204030204" pitchFamily="34" charset="0"/>
            </a:rPr>
            <a:t> Report</a:t>
          </a:r>
          <a:endParaRPr lang="en-PK" sz="900" b="0">
            <a:solidFill>
              <a:schemeClr val="tx1"/>
            </a:solidFill>
            <a:latin typeface="+mj-lt"/>
            <a:ea typeface="Calibri" panose="020F0502020204030204" pitchFamily="34" charset="0"/>
            <a:cs typeface="Calibri" panose="020F0502020204030204" pitchFamily="34" charset="0"/>
          </a:endParaRPr>
        </a:p>
      </xdr:txBody>
    </xdr:sp>
    <xdr:clientData/>
  </xdr:twoCellAnchor>
  <xdr:twoCellAnchor editAs="absolute">
    <xdr:from>
      <xdr:col>3</xdr:col>
      <xdr:colOff>53580</xdr:colOff>
      <xdr:row>6</xdr:row>
      <xdr:rowOff>160734</xdr:rowOff>
    </xdr:from>
    <xdr:to>
      <xdr:col>4</xdr:col>
      <xdr:colOff>601265</xdr:colOff>
      <xdr:row>7</xdr:row>
      <xdr:rowOff>125014</xdr:rowOff>
    </xdr:to>
    <xdr:sp macro="" textlink="">
      <xdr:nvSpPr>
        <xdr:cNvPr id="35" name="TextBox 34">
          <a:extLst>
            <a:ext uri="{FF2B5EF4-FFF2-40B4-BE49-F238E27FC236}">
              <a16:creationId xmlns:a16="http://schemas.microsoft.com/office/drawing/2014/main" id="{BAE691BB-4E6B-26D7-2880-7860C2626479}"/>
            </a:ext>
          </a:extLst>
        </xdr:cNvPr>
        <xdr:cNvSpPr txBox="1"/>
      </xdr:nvSpPr>
      <xdr:spPr>
        <a:xfrm>
          <a:off x="1875236" y="1303734"/>
          <a:ext cx="1154904"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b="0">
              <a:solidFill>
                <a:schemeClr val="tx1"/>
              </a:solidFill>
              <a:latin typeface="Calibri(body)"/>
              <a:ea typeface="Calibri" panose="020F0502020204030204" pitchFamily="34" charset="0"/>
              <a:cs typeface="Calibri" panose="020F0502020204030204" pitchFamily="34" charset="0"/>
            </a:rPr>
            <a:t>Avg</a:t>
          </a:r>
          <a:r>
            <a:rPr lang="en-US" sz="1000" b="0" baseline="0">
              <a:solidFill>
                <a:schemeClr val="tx1"/>
              </a:solidFill>
              <a:latin typeface="Calibri(body)"/>
              <a:ea typeface="Calibri" panose="020F0502020204030204" pitchFamily="34" charset="0"/>
              <a:cs typeface="Calibri" panose="020F0502020204030204" pitchFamily="34" charset="0"/>
            </a:rPr>
            <a:t> Wait Time (Min)</a:t>
          </a:r>
          <a:endParaRPr lang="en-PK" sz="1000" b="0">
            <a:solidFill>
              <a:schemeClr val="tx1"/>
            </a:solidFill>
            <a:latin typeface="+mn-lt"/>
            <a:ea typeface="Calibri" panose="020F0502020204030204" pitchFamily="34" charset="0"/>
            <a:cs typeface="Calibri" panose="020F0502020204030204" pitchFamily="34" charset="0"/>
          </a:endParaRPr>
        </a:p>
      </xdr:txBody>
    </xdr:sp>
    <xdr:clientData/>
  </xdr:twoCellAnchor>
  <xdr:twoCellAnchor editAs="absolute">
    <xdr:from>
      <xdr:col>3</xdr:col>
      <xdr:colOff>83345</xdr:colOff>
      <xdr:row>5</xdr:row>
      <xdr:rowOff>160735</xdr:rowOff>
    </xdr:from>
    <xdr:to>
      <xdr:col>5</xdr:col>
      <xdr:colOff>23811</xdr:colOff>
      <xdr:row>6</xdr:row>
      <xdr:rowOff>125015</xdr:rowOff>
    </xdr:to>
    <xdr:sp macro="" textlink="PR!A11">
      <xdr:nvSpPr>
        <xdr:cNvPr id="36" name="TextBox 35">
          <a:extLst>
            <a:ext uri="{FF2B5EF4-FFF2-40B4-BE49-F238E27FC236}">
              <a16:creationId xmlns:a16="http://schemas.microsoft.com/office/drawing/2014/main" id="{61649093-9F05-087E-40FF-B1918E2C4B95}"/>
            </a:ext>
          </a:extLst>
        </xdr:cNvPr>
        <xdr:cNvSpPr txBox="1"/>
      </xdr:nvSpPr>
      <xdr:spPr>
        <a:xfrm>
          <a:off x="1905001" y="1113235"/>
          <a:ext cx="1154904"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1A158C8-AEC8-4FD2-9ACA-F7BABFA72B05}" type="TxLink">
            <a:rPr lang="en-US" sz="1400" b="0" i="0" u="none" strike="noStrike">
              <a:solidFill>
                <a:srgbClr val="000000"/>
              </a:solidFill>
              <a:latin typeface="Aptos Narrow"/>
              <a:ea typeface="Calibri" panose="020F0502020204030204" pitchFamily="34" charset="0"/>
              <a:cs typeface="Calibri" panose="020F0502020204030204" pitchFamily="34" charset="0"/>
            </a:rPr>
            <a:pPr algn="ctr"/>
            <a:t>35.54</a:t>
          </a:fld>
          <a:endParaRPr lang="en-US" sz="1400" b="0">
            <a:ea typeface="Calibri" panose="020F0502020204030204" pitchFamily="34" charset="0"/>
            <a:cs typeface="Calibri" panose="020F0502020204030204" pitchFamily="34" charset="0"/>
          </a:endParaRPr>
        </a:p>
      </xdr:txBody>
    </xdr:sp>
    <xdr:clientData/>
  </xdr:twoCellAnchor>
  <xdr:twoCellAnchor editAs="absolute">
    <xdr:from>
      <xdr:col>5</xdr:col>
      <xdr:colOff>107157</xdr:colOff>
      <xdr:row>6</xdr:row>
      <xdr:rowOff>142875</xdr:rowOff>
    </xdr:from>
    <xdr:to>
      <xdr:col>7</xdr:col>
      <xdr:colOff>47624</xdr:colOff>
      <xdr:row>6</xdr:row>
      <xdr:rowOff>142875</xdr:rowOff>
    </xdr:to>
    <xdr:sp macro="" textlink="">
      <xdr:nvSpPr>
        <xdr:cNvPr id="37" name="TextBox 36">
          <a:extLst>
            <a:ext uri="{FF2B5EF4-FFF2-40B4-BE49-F238E27FC236}">
              <a16:creationId xmlns:a16="http://schemas.microsoft.com/office/drawing/2014/main" id="{18451F21-74C4-A0DF-1ADF-523F0F7AAB4D}"/>
            </a:ext>
          </a:extLst>
        </xdr:cNvPr>
        <xdr:cNvSpPr txBox="1"/>
      </xdr:nvSpPr>
      <xdr:spPr>
        <a:xfrm>
          <a:off x="3143251" y="1285875"/>
          <a:ext cx="1154904"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850" b="0" baseline="0">
            <a:solidFill>
              <a:schemeClr val="tx1"/>
            </a:solidFill>
            <a:latin typeface="Calibri(body)"/>
            <a:ea typeface="Calibri" panose="020F0502020204030204" pitchFamily="34" charset="0"/>
            <a:cs typeface="Calibri" panose="020F0502020204030204" pitchFamily="34" charset="0"/>
          </a:endParaRPr>
        </a:p>
      </xdr:txBody>
    </xdr:sp>
    <xdr:clientData/>
  </xdr:twoCellAnchor>
  <xdr:twoCellAnchor editAs="absolute">
    <xdr:from>
      <xdr:col>5</xdr:col>
      <xdr:colOff>107157</xdr:colOff>
      <xdr:row>5</xdr:row>
      <xdr:rowOff>160735</xdr:rowOff>
    </xdr:from>
    <xdr:to>
      <xdr:col>7</xdr:col>
      <xdr:colOff>47624</xdr:colOff>
      <xdr:row>6</xdr:row>
      <xdr:rowOff>125015</xdr:rowOff>
    </xdr:to>
    <xdr:sp macro="" textlink="PR!A16">
      <xdr:nvSpPr>
        <xdr:cNvPr id="38" name="TextBox 37">
          <a:extLst>
            <a:ext uri="{FF2B5EF4-FFF2-40B4-BE49-F238E27FC236}">
              <a16:creationId xmlns:a16="http://schemas.microsoft.com/office/drawing/2014/main" id="{9F595A75-5DD5-89E3-4EEA-FCDFF2ACEEDA}"/>
            </a:ext>
          </a:extLst>
        </xdr:cNvPr>
        <xdr:cNvSpPr txBox="1"/>
      </xdr:nvSpPr>
      <xdr:spPr>
        <a:xfrm>
          <a:off x="3143251" y="1113235"/>
          <a:ext cx="1154904"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834E2E3-8ABC-457A-BCB5-B13E14331F32}" type="TxLink">
            <a:rPr lang="en-US" sz="1400" b="0" i="0" u="none" strike="noStrike">
              <a:solidFill>
                <a:srgbClr val="000000"/>
              </a:solidFill>
              <a:latin typeface="Aptos Narrow"/>
              <a:ea typeface="Calibri" panose="020F0502020204030204" pitchFamily="34" charset="0"/>
              <a:cs typeface="Calibri" panose="020F0502020204030204" pitchFamily="34" charset="0"/>
            </a:rPr>
            <a:pPr algn="ctr"/>
            <a:t>4.95</a:t>
          </a:fld>
          <a:endParaRPr lang="en-US" sz="1400" b="0">
            <a:ea typeface="Calibri" panose="020F0502020204030204" pitchFamily="34" charset="0"/>
            <a:cs typeface="Calibri" panose="020F0502020204030204" pitchFamily="34" charset="0"/>
          </a:endParaRPr>
        </a:p>
      </xdr:txBody>
    </xdr:sp>
    <xdr:clientData/>
  </xdr:twoCellAnchor>
  <xdr:twoCellAnchor editAs="absolute">
    <xdr:from>
      <xdr:col>2</xdr:col>
      <xdr:colOff>250031</xdr:colOff>
      <xdr:row>5</xdr:row>
      <xdr:rowOff>89297</xdr:rowOff>
    </xdr:from>
    <xdr:to>
      <xdr:col>2</xdr:col>
      <xdr:colOff>553640</xdr:colOff>
      <xdr:row>7</xdr:row>
      <xdr:rowOff>11906</xdr:rowOff>
    </xdr:to>
    <xdr:pic>
      <xdr:nvPicPr>
        <xdr:cNvPr id="40" name="Graphic 39" descr="Male profile with solid fill">
          <a:extLst>
            <a:ext uri="{FF2B5EF4-FFF2-40B4-BE49-F238E27FC236}">
              <a16:creationId xmlns:a16="http://schemas.microsoft.com/office/drawing/2014/main" id="{B14A59AB-4BCE-91A1-D926-E5E5C9E10E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64469" y="1041797"/>
          <a:ext cx="303609" cy="303609"/>
        </a:xfrm>
        <a:prstGeom prst="rect">
          <a:avLst/>
        </a:prstGeom>
      </xdr:spPr>
    </xdr:pic>
    <xdr:clientData/>
  </xdr:twoCellAnchor>
  <xdr:twoCellAnchor editAs="oneCell">
    <xdr:from>
      <xdr:col>6</xdr:col>
      <xdr:colOff>339328</xdr:colOff>
      <xdr:row>5</xdr:row>
      <xdr:rowOff>107156</xdr:rowOff>
    </xdr:from>
    <xdr:to>
      <xdr:col>6</xdr:col>
      <xdr:colOff>605728</xdr:colOff>
      <xdr:row>6</xdr:row>
      <xdr:rowOff>183056</xdr:rowOff>
    </xdr:to>
    <xdr:pic>
      <xdr:nvPicPr>
        <xdr:cNvPr id="42" name="Graphic 41" descr="Customer review with solid fill">
          <a:extLst>
            <a:ext uri="{FF2B5EF4-FFF2-40B4-BE49-F238E27FC236}">
              <a16:creationId xmlns:a16="http://schemas.microsoft.com/office/drawing/2014/main" id="{0B080F9B-4299-AF6E-1460-368B48FBC1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82641" y="1059656"/>
          <a:ext cx="266400" cy="266400"/>
        </a:xfrm>
        <a:prstGeom prst="rect">
          <a:avLst/>
        </a:prstGeom>
      </xdr:spPr>
    </xdr:pic>
    <xdr:clientData/>
  </xdr:twoCellAnchor>
  <xdr:twoCellAnchor editAs="oneCell">
    <xdr:from>
      <xdr:col>4</xdr:col>
      <xdr:colOff>358358</xdr:colOff>
      <xdr:row>5</xdr:row>
      <xdr:rowOff>132140</xdr:rowOff>
    </xdr:from>
    <xdr:to>
      <xdr:col>4</xdr:col>
      <xdr:colOff>595958</xdr:colOff>
      <xdr:row>6</xdr:row>
      <xdr:rowOff>179240</xdr:rowOff>
    </xdr:to>
    <xdr:pic>
      <xdr:nvPicPr>
        <xdr:cNvPr id="44" name="Graphic 43" descr="Hourglass Finished with solid fill">
          <a:extLst>
            <a:ext uri="{FF2B5EF4-FFF2-40B4-BE49-F238E27FC236}">
              <a16:creationId xmlns:a16="http://schemas.microsoft.com/office/drawing/2014/main" id="{81E5239B-6177-4015-3E36-3FBAE1F8ADB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87233" y="1084640"/>
          <a:ext cx="237600" cy="237600"/>
        </a:xfrm>
        <a:prstGeom prst="rect">
          <a:avLst/>
        </a:prstGeom>
      </xdr:spPr>
    </xdr:pic>
    <xdr:clientData/>
  </xdr:twoCellAnchor>
  <xdr:twoCellAnchor>
    <xdr:from>
      <xdr:col>0</xdr:col>
      <xdr:colOff>483870</xdr:colOff>
      <xdr:row>6</xdr:row>
      <xdr:rowOff>83353</xdr:rowOff>
    </xdr:from>
    <xdr:to>
      <xdr:col>3</xdr:col>
      <xdr:colOff>106680</xdr:colOff>
      <xdr:row>10</xdr:row>
      <xdr:rowOff>79067</xdr:rowOff>
    </xdr:to>
    <xdr:graphicFrame macro="">
      <xdr:nvGraphicFramePr>
        <xdr:cNvPr id="4" name="Chart 3">
          <a:hlinkClick xmlns:r="http://schemas.openxmlformats.org/officeDocument/2006/relationships" r:id="rId9"/>
          <a:extLst>
            <a:ext uri="{FF2B5EF4-FFF2-40B4-BE49-F238E27FC236}">
              <a16:creationId xmlns:a16="http://schemas.microsoft.com/office/drawing/2014/main" id="{12B81980-C6A8-4ED5-97BB-D642E56137E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59532</xdr:colOff>
      <xdr:row>5</xdr:row>
      <xdr:rowOff>113109</xdr:rowOff>
    </xdr:from>
    <xdr:to>
      <xdr:col>0</xdr:col>
      <xdr:colOff>547687</xdr:colOff>
      <xdr:row>21</xdr:row>
      <xdr:rowOff>130969</xdr:rowOff>
    </xdr:to>
    <mc:AlternateContent xmlns:mc="http://schemas.openxmlformats.org/markup-compatibility/2006" xmlns:a14="http://schemas.microsoft.com/office/drawing/2010/main">
      <mc:Choice Requires="a14">
        <xdr:graphicFrame macro="">
          <xdr:nvGraphicFramePr>
            <xdr:cNvPr id="74" name="Date (Month) 1">
              <a:extLst>
                <a:ext uri="{FF2B5EF4-FFF2-40B4-BE49-F238E27FC236}">
                  <a16:creationId xmlns:a16="http://schemas.microsoft.com/office/drawing/2014/main" id="{BEC818FF-49C3-4296-9DFA-365453BD513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59532" y="1065609"/>
              <a:ext cx="488155" cy="30658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23814</xdr:colOff>
      <xdr:row>6</xdr:row>
      <xdr:rowOff>160734</xdr:rowOff>
    </xdr:from>
    <xdr:to>
      <xdr:col>2</xdr:col>
      <xdr:colOff>571499</xdr:colOff>
      <xdr:row>7</xdr:row>
      <xdr:rowOff>125014</xdr:rowOff>
    </xdr:to>
    <xdr:sp macro="" textlink="">
      <xdr:nvSpPr>
        <xdr:cNvPr id="33" name="TextBox 32">
          <a:extLst>
            <a:ext uri="{FF2B5EF4-FFF2-40B4-BE49-F238E27FC236}">
              <a16:creationId xmlns:a16="http://schemas.microsoft.com/office/drawing/2014/main" id="{C1032955-55FF-18D6-D0FA-5DDB802A3741}"/>
            </a:ext>
          </a:extLst>
        </xdr:cNvPr>
        <xdr:cNvSpPr txBox="1"/>
      </xdr:nvSpPr>
      <xdr:spPr>
        <a:xfrm>
          <a:off x="631033" y="1303734"/>
          <a:ext cx="1154904"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b="0">
              <a:solidFill>
                <a:schemeClr val="tx1"/>
              </a:solidFill>
              <a:latin typeface="Calibri(body)"/>
              <a:ea typeface="Calibri" panose="020F0502020204030204" pitchFamily="34" charset="0"/>
              <a:cs typeface="Calibri" panose="020F0502020204030204" pitchFamily="34" charset="0"/>
            </a:rPr>
            <a:t>No. of Patient</a:t>
          </a:r>
          <a:endParaRPr lang="en-PK" sz="1000" b="0">
            <a:solidFill>
              <a:schemeClr val="tx1"/>
            </a:solidFill>
            <a:latin typeface="+mn-lt"/>
            <a:ea typeface="Calibri" panose="020F0502020204030204" pitchFamily="34" charset="0"/>
            <a:cs typeface="Calibri" panose="020F0502020204030204" pitchFamily="34" charset="0"/>
          </a:endParaRPr>
        </a:p>
      </xdr:txBody>
    </xdr:sp>
    <xdr:clientData/>
  </xdr:twoCellAnchor>
  <xdr:twoCellAnchor editAs="absolute">
    <xdr:from>
      <xdr:col>5</xdr:col>
      <xdr:colOff>95251</xdr:colOff>
      <xdr:row>6</xdr:row>
      <xdr:rowOff>160734</xdr:rowOff>
    </xdr:from>
    <xdr:to>
      <xdr:col>7</xdr:col>
      <xdr:colOff>35718</xdr:colOff>
      <xdr:row>7</xdr:row>
      <xdr:rowOff>125014</xdr:rowOff>
    </xdr:to>
    <xdr:sp macro="" textlink="">
      <xdr:nvSpPr>
        <xdr:cNvPr id="19" name="TextBox 18">
          <a:extLst>
            <a:ext uri="{FF2B5EF4-FFF2-40B4-BE49-F238E27FC236}">
              <a16:creationId xmlns:a16="http://schemas.microsoft.com/office/drawing/2014/main" id="{AD3F34B8-AFA8-0E2D-3138-2D672DCEE825}"/>
            </a:ext>
          </a:extLst>
        </xdr:cNvPr>
        <xdr:cNvSpPr txBox="1"/>
      </xdr:nvSpPr>
      <xdr:spPr>
        <a:xfrm>
          <a:off x="3131345" y="1303734"/>
          <a:ext cx="1154904"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b="0">
              <a:solidFill>
                <a:schemeClr val="tx1"/>
              </a:solidFill>
              <a:latin typeface="Calibri(body)"/>
              <a:ea typeface="Calibri" panose="020F0502020204030204" pitchFamily="34" charset="0"/>
              <a:cs typeface="Calibri" panose="020F0502020204030204" pitchFamily="34" charset="0"/>
            </a:rPr>
            <a:t>P. Satisfaction Score</a:t>
          </a:r>
          <a:endParaRPr lang="en-PK" sz="1000" b="0">
            <a:solidFill>
              <a:schemeClr val="tx1"/>
            </a:solidFill>
            <a:latin typeface="+mn-lt"/>
            <a:ea typeface="Calibri" panose="020F0502020204030204" pitchFamily="34" charset="0"/>
            <a:cs typeface="Calibri" panose="020F0502020204030204" pitchFamily="34" charset="0"/>
          </a:endParaRPr>
        </a:p>
      </xdr:txBody>
    </xdr:sp>
    <xdr:clientData/>
  </xdr:twoCellAnchor>
  <xdr:twoCellAnchor>
    <xdr:from>
      <xdr:col>2</xdr:col>
      <xdr:colOff>517922</xdr:colOff>
      <xdr:row>6</xdr:row>
      <xdr:rowOff>83342</xdr:rowOff>
    </xdr:from>
    <xdr:to>
      <xdr:col>5</xdr:col>
      <xdr:colOff>125466</xdr:colOff>
      <xdr:row>10</xdr:row>
      <xdr:rowOff>80942</xdr:rowOff>
    </xdr:to>
    <xdr:graphicFrame macro="">
      <xdr:nvGraphicFramePr>
        <xdr:cNvPr id="20" name="Chart 19">
          <a:hlinkClick xmlns:r="http://schemas.openxmlformats.org/officeDocument/2006/relationships" r:id="rId11"/>
          <a:extLst>
            <a:ext uri="{FF2B5EF4-FFF2-40B4-BE49-F238E27FC236}">
              <a16:creationId xmlns:a16="http://schemas.microsoft.com/office/drawing/2014/main" id="{B17DC963-E4D5-4B6A-8877-90FD376E8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559593</xdr:colOff>
      <xdr:row>6</xdr:row>
      <xdr:rowOff>89296</xdr:rowOff>
    </xdr:from>
    <xdr:to>
      <xdr:col>7</xdr:col>
      <xdr:colOff>185137</xdr:colOff>
      <xdr:row>10</xdr:row>
      <xdr:rowOff>86896</xdr:rowOff>
    </xdr:to>
    <xdr:graphicFrame macro="">
      <xdr:nvGraphicFramePr>
        <xdr:cNvPr id="23" name="Chart 22">
          <a:hlinkClick xmlns:r="http://schemas.openxmlformats.org/officeDocument/2006/relationships" r:id="rId13"/>
          <a:extLst>
            <a:ext uri="{FF2B5EF4-FFF2-40B4-BE49-F238E27FC236}">
              <a16:creationId xmlns:a16="http://schemas.microsoft.com/office/drawing/2014/main" id="{034B9A87-B28D-441B-A96A-BB0535313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23812</xdr:colOff>
          <xdr:row>10</xdr:row>
          <xdr:rowOff>23813</xdr:rowOff>
        </xdr:from>
        <xdr:to>
          <xdr:col>7</xdr:col>
          <xdr:colOff>41671</xdr:colOff>
          <xdr:row>13</xdr:row>
          <xdr:rowOff>49855</xdr:rowOff>
        </xdr:to>
        <xdr:pic>
          <xdr:nvPicPr>
            <xdr:cNvPr id="41" name="Picture 40">
              <a:extLst>
                <a:ext uri="{FF2B5EF4-FFF2-40B4-BE49-F238E27FC236}">
                  <a16:creationId xmlns:a16="http://schemas.microsoft.com/office/drawing/2014/main" id="{CDD53078-A64C-F558-7830-2687059995D0}"/>
                </a:ext>
              </a:extLst>
            </xdr:cNvPr>
            <xdr:cNvPicPr>
              <a:picLocks noChangeAspect="1" noChangeArrowheads="1"/>
              <a:extLst>
                <a:ext uri="{84589F7E-364E-4C9E-8A38-B11213B215E9}">
                  <a14:cameraTool cellRange="Report!$C$6:$H$8" spid="_x0000_s1062"/>
                </a:ext>
              </a:extLst>
            </xdr:cNvPicPr>
          </xdr:nvPicPr>
          <xdr:blipFill>
            <a:blip xmlns:r="http://schemas.openxmlformats.org/officeDocument/2006/relationships" r:embed="rId15"/>
            <a:srcRect/>
            <a:stretch>
              <a:fillRect/>
            </a:stretch>
          </xdr:blipFill>
          <xdr:spPr bwMode="auto">
            <a:xfrm>
              <a:off x="631031" y="1928813"/>
              <a:ext cx="3661171" cy="597542"/>
            </a:xfrm>
            <a:prstGeom prst="roundRect">
              <a:avLst>
                <a:gd name="adj" fmla="val 8594"/>
              </a:avLst>
            </a:prstGeom>
            <a:solidFill>
              <a:srgbClr val="FFFFFF">
                <a:shade val="85000"/>
              </a:srgbClr>
            </a:solidFill>
            <a:ln>
              <a:noFill/>
            </a:ln>
            <a:effectLst/>
          </xdr:spPr>
        </xdr:pic>
        <xdr:clientData/>
      </xdr:twoCellAnchor>
    </mc:Choice>
    <mc:Fallback/>
  </mc:AlternateContent>
  <xdr:twoCellAnchor>
    <xdr:from>
      <xdr:col>1</xdr:col>
      <xdr:colOff>53576</xdr:colOff>
      <xdr:row>13</xdr:row>
      <xdr:rowOff>136923</xdr:rowOff>
    </xdr:from>
    <xdr:to>
      <xdr:col>7</xdr:col>
      <xdr:colOff>11905</xdr:colOff>
      <xdr:row>21</xdr:row>
      <xdr:rowOff>154781</xdr:rowOff>
    </xdr:to>
    <xdr:graphicFrame macro="">
      <xdr:nvGraphicFramePr>
        <xdr:cNvPr id="43" name="Chart 42">
          <a:extLst>
            <a:ext uri="{FF2B5EF4-FFF2-40B4-BE49-F238E27FC236}">
              <a16:creationId xmlns:a16="http://schemas.microsoft.com/office/drawing/2014/main" id="{24784397-A508-4D67-A5A3-37D7CBDED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121637</xdr:colOff>
      <xdr:row>2</xdr:row>
      <xdr:rowOff>88664</xdr:rowOff>
    </xdr:from>
    <xdr:to>
      <xdr:col>9</xdr:col>
      <xdr:colOff>261936</xdr:colOff>
      <xdr:row>9</xdr:row>
      <xdr:rowOff>23813</xdr:rowOff>
    </xdr:to>
    <xdr:graphicFrame macro="">
      <xdr:nvGraphicFramePr>
        <xdr:cNvPr id="47" name="Chart 46">
          <a:extLst>
            <a:ext uri="{FF2B5EF4-FFF2-40B4-BE49-F238E27FC236}">
              <a16:creationId xmlns:a16="http://schemas.microsoft.com/office/drawing/2014/main" id="{41675295-2190-4A20-A623-D7A35A50B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357187</xdr:colOff>
      <xdr:row>2</xdr:row>
      <xdr:rowOff>89295</xdr:rowOff>
    </xdr:from>
    <xdr:to>
      <xdr:col>11</xdr:col>
      <xdr:colOff>494110</xdr:colOff>
      <xdr:row>9</xdr:row>
      <xdr:rowOff>15795</xdr:rowOff>
    </xdr:to>
    <xdr:graphicFrame macro="">
      <xdr:nvGraphicFramePr>
        <xdr:cNvPr id="48" name="Chart 47">
          <a:extLst>
            <a:ext uri="{FF2B5EF4-FFF2-40B4-BE49-F238E27FC236}">
              <a16:creationId xmlns:a16="http://schemas.microsoft.com/office/drawing/2014/main" id="{4273990D-9677-4C5D-A392-DBDFD367A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121638</xdr:colOff>
      <xdr:row>9</xdr:row>
      <xdr:rowOff>109631</xdr:rowOff>
    </xdr:from>
    <xdr:to>
      <xdr:col>11</xdr:col>
      <xdr:colOff>494110</xdr:colOff>
      <xdr:row>21</xdr:row>
      <xdr:rowOff>184547</xdr:rowOff>
    </xdr:to>
    <xdr:graphicFrame macro="">
      <xdr:nvGraphicFramePr>
        <xdr:cNvPr id="51" name="Chart 50">
          <a:extLst>
            <a:ext uri="{FF2B5EF4-FFF2-40B4-BE49-F238E27FC236}">
              <a16:creationId xmlns:a16="http://schemas.microsoft.com/office/drawing/2014/main" id="{E426A651-6B83-4EB5-A367-BCDA3B1BD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xdr:col>
      <xdr:colOff>315514</xdr:colOff>
      <xdr:row>3</xdr:row>
      <xdr:rowOff>59531</xdr:rowOff>
    </xdr:from>
    <xdr:to>
      <xdr:col>7</xdr:col>
      <xdr:colOff>21103</xdr:colOff>
      <xdr:row>4</xdr:row>
      <xdr:rowOff>172641</xdr:rowOff>
    </xdr:to>
    <mc:AlternateContent xmlns:mc="http://schemas.openxmlformats.org/markup-compatibility/2006" xmlns:a14="http://schemas.microsoft.com/office/drawing/2010/main">
      <mc:Choice Requires="a14">
        <xdr:graphicFrame macro="">
          <xdr:nvGraphicFramePr>
            <xdr:cNvPr id="56" name="Date (Year) 1">
              <a:extLst>
                <a:ext uri="{FF2B5EF4-FFF2-40B4-BE49-F238E27FC236}">
                  <a16:creationId xmlns:a16="http://schemas.microsoft.com/office/drawing/2014/main" id="{44538CB9-870A-4CD6-B053-C03C624D6CA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51608" y="631031"/>
              <a:ext cx="920026" cy="30361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190502</xdr:colOff>
      <xdr:row>2</xdr:row>
      <xdr:rowOff>142875</xdr:rowOff>
    </xdr:from>
    <xdr:to>
      <xdr:col>7</xdr:col>
      <xdr:colOff>130969</xdr:colOff>
      <xdr:row>3</xdr:row>
      <xdr:rowOff>107155</xdr:rowOff>
    </xdr:to>
    <xdr:sp macro="" textlink="">
      <xdr:nvSpPr>
        <xdr:cNvPr id="57" name="TextBox 56">
          <a:extLst>
            <a:ext uri="{FF2B5EF4-FFF2-40B4-BE49-F238E27FC236}">
              <a16:creationId xmlns:a16="http://schemas.microsoft.com/office/drawing/2014/main" id="{8C9E0B33-FEBF-64FD-DC5B-A0DF34781C68}"/>
            </a:ext>
          </a:extLst>
        </xdr:cNvPr>
        <xdr:cNvSpPr txBox="1"/>
      </xdr:nvSpPr>
      <xdr:spPr>
        <a:xfrm>
          <a:off x="3226596" y="523875"/>
          <a:ext cx="1154904" cy="15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b="1"/>
            <a:t>Year </a:t>
          </a:r>
          <a:r>
            <a:rPr lang="en-US" sz="1000" b="1">
              <a:latin typeface="Calibri" panose="020F0502020204030204" pitchFamily="34" charset="0"/>
              <a:ea typeface="Calibri" panose="020F0502020204030204" pitchFamily="34" charset="0"/>
              <a:cs typeface="Calibri" panose="020F0502020204030204" pitchFamily="34" charset="0"/>
            </a:rPr>
            <a:t>Navigator</a:t>
          </a:r>
          <a:endParaRPr lang="en-PK" sz="10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85726</xdr:colOff>
      <xdr:row>6</xdr:row>
      <xdr:rowOff>123825</xdr:rowOff>
    </xdr:from>
    <xdr:to>
      <xdr:col>4</xdr:col>
      <xdr:colOff>703660</xdr:colOff>
      <xdr:row>25</xdr:row>
      <xdr:rowOff>142875</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0CEB2860-4650-AA23-9D28-7DF8AFF5FAF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290090" y="1266825"/>
              <a:ext cx="617934" cy="36385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333374</xdr:colOff>
      <xdr:row>11</xdr:row>
      <xdr:rowOff>28576</xdr:rowOff>
    </xdr:from>
    <xdr:to>
      <xdr:col>10</xdr:col>
      <xdr:colOff>1428750</xdr:colOff>
      <xdr:row>22</xdr:row>
      <xdr:rowOff>85726</xdr:rowOff>
    </xdr:to>
    <xdr:graphicFrame macro="">
      <xdr:nvGraphicFramePr>
        <xdr:cNvPr id="4" name="Chart 3">
          <a:extLst>
            <a:ext uri="{FF2B5EF4-FFF2-40B4-BE49-F238E27FC236}">
              <a16:creationId xmlns:a16="http://schemas.microsoft.com/office/drawing/2014/main" id="{17C2EBA8-F233-0B16-21F0-1575E5AF9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314326</xdr:colOff>
      <xdr:row>13</xdr:row>
      <xdr:rowOff>157163</xdr:rowOff>
    </xdr:from>
    <xdr:to>
      <xdr:col>6</xdr:col>
      <xdr:colOff>1552575</xdr:colOff>
      <xdr:row>20</xdr:row>
      <xdr:rowOff>103822</xdr:rowOff>
    </xdr:to>
    <xdr:graphicFrame macro="">
      <xdr:nvGraphicFramePr>
        <xdr:cNvPr id="6" name="Chart 5">
          <a:extLst>
            <a:ext uri="{FF2B5EF4-FFF2-40B4-BE49-F238E27FC236}">
              <a16:creationId xmlns:a16="http://schemas.microsoft.com/office/drawing/2014/main" id="{1D666E7B-5241-5D29-F825-5E9FCF1DA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496886</xdr:colOff>
      <xdr:row>13</xdr:row>
      <xdr:rowOff>71437</xdr:rowOff>
    </xdr:from>
    <xdr:to>
      <xdr:col>14</xdr:col>
      <xdr:colOff>1847849</xdr:colOff>
      <xdr:row>20</xdr:row>
      <xdr:rowOff>85725</xdr:rowOff>
    </xdr:to>
    <xdr:graphicFrame macro="">
      <xdr:nvGraphicFramePr>
        <xdr:cNvPr id="8" name="Chart 7">
          <a:extLst>
            <a:ext uri="{FF2B5EF4-FFF2-40B4-BE49-F238E27FC236}">
              <a16:creationId xmlns:a16="http://schemas.microsoft.com/office/drawing/2014/main" id="{5CD0B9B2-B7A2-1417-4444-A75F73795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272761</xdr:colOff>
      <xdr:row>50</xdr:row>
      <xdr:rowOff>117764</xdr:rowOff>
    </xdr:from>
    <xdr:to>
      <xdr:col>4</xdr:col>
      <xdr:colOff>233795</xdr:colOff>
      <xdr:row>61</xdr:row>
      <xdr:rowOff>17318</xdr:rowOff>
    </xdr:to>
    <xdr:graphicFrame macro="">
      <xdr:nvGraphicFramePr>
        <xdr:cNvPr id="10" name="Chart 9">
          <a:extLst>
            <a:ext uri="{FF2B5EF4-FFF2-40B4-BE49-F238E27FC236}">
              <a16:creationId xmlns:a16="http://schemas.microsoft.com/office/drawing/2014/main" id="{58BFB9FD-79FE-D354-3C52-2319CF7C0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402647</xdr:colOff>
      <xdr:row>64</xdr:row>
      <xdr:rowOff>147205</xdr:rowOff>
    </xdr:from>
    <xdr:to>
      <xdr:col>3</xdr:col>
      <xdr:colOff>216478</xdr:colOff>
      <xdr:row>72</xdr:row>
      <xdr:rowOff>95251</xdr:rowOff>
    </xdr:to>
    <xdr:graphicFrame macro="">
      <xdr:nvGraphicFramePr>
        <xdr:cNvPr id="11" name="Chart 10">
          <a:extLst>
            <a:ext uri="{FF2B5EF4-FFF2-40B4-BE49-F238E27FC236}">
              <a16:creationId xmlns:a16="http://schemas.microsoft.com/office/drawing/2014/main" id="{38FF0D05-3A4B-CB63-D604-5D135423D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82261</xdr:colOff>
      <xdr:row>74</xdr:row>
      <xdr:rowOff>74468</xdr:rowOff>
    </xdr:from>
    <xdr:to>
      <xdr:col>2</xdr:col>
      <xdr:colOff>2052204</xdr:colOff>
      <xdr:row>80</xdr:row>
      <xdr:rowOff>181841</xdr:rowOff>
    </xdr:to>
    <xdr:graphicFrame macro="">
      <xdr:nvGraphicFramePr>
        <xdr:cNvPr id="12" name="Chart 11">
          <a:extLst>
            <a:ext uri="{FF2B5EF4-FFF2-40B4-BE49-F238E27FC236}">
              <a16:creationId xmlns:a16="http://schemas.microsoft.com/office/drawing/2014/main" id="{AE2C00A5-6337-5696-A15E-0DB73481B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307397</xdr:colOff>
      <xdr:row>84</xdr:row>
      <xdr:rowOff>48491</xdr:rowOff>
    </xdr:from>
    <xdr:to>
      <xdr:col>4</xdr:col>
      <xdr:colOff>251114</xdr:colOff>
      <xdr:row>94</xdr:row>
      <xdr:rowOff>77932</xdr:rowOff>
    </xdr:to>
    <xdr:graphicFrame macro="">
      <xdr:nvGraphicFramePr>
        <xdr:cNvPr id="14" name="Chart 13">
          <a:extLst>
            <a:ext uri="{FF2B5EF4-FFF2-40B4-BE49-F238E27FC236}">
              <a16:creationId xmlns:a16="http://schemas.microsoft.com/office/drawing/2014/main" id="{D95F5CB3-9167-068C-B206-399EFF10E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1130876</xdr:colOff>
      <xdr:row>96</xdr:row>
      <xdr:rowOff>87458</xdr:rowOff>
    </xdr:from>
    <xdr:to>
      <xdr:col>3</xdr:col>
      <xdr:colOff>173182</xdr:colOff>
      <xdr:row>98</xdr:row>
      <xdr:rowOff>138545</xdr:rowOff>
    </xdr:to>
    <mc:AlternateContent xmlns:mc="http://schemas.openxmlformats.org/markup-compatibility/2006" xmlns:a14="http://schemas.microsoft.com/office/drawing/2010/main">
      <mc:Choice Requires="a14">
        <xdr:graphicFrame macro="">
          <xdr:nvGraphicFramePr>
            <xdr:cNvPr id="16" name="Date (Year)">
              <a:extLst>
                <a:ext uri="{FF2B5EF4-FFF2-40B4-BE49-F238E27FC236}">
                  <a16:creationId xmlns:a16="http://schemas.microsoft.com/office/drawing/2014/main" id="{25483602-5430-0CF5-30A2-9F9F71331B2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469081" y="18375458"/>
              <a:ext cx="1129146" cy="43208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247649</xdr:colOff>
      <xdr:row>2</xdr:row>
      <xdr:rowOff>114300</xdr:rowOff>
    </xdr:from>
    <xdr:to>
      <xdr:col>14</xdr:col>
      <xdr:colOff>445372</xdr:colOff>
      <xdr:row>23</xdr:row>
      <xdr:rowOff>57150</xdr:rowOff>
    </xdr:to>
    <xdr:graphicFrame macro="">
      <xdr:nvGraphicFramePr>
        <xdr:cNvPr id="2" name="Chart 1">
          <a:extLst>
            <a:ext uri="{FF2B5EF4-FFF2-40B4-BE49-F238E27FC236}">
              <a16:creationId xmlns:a16="http://schemas.microsoft.com/office/drawing/2014/main" id="{548B573D-D208-4AF0-84EF-9C55E04C8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438149</xdr:colOff>
      <xdr:row>2</xdr:row>
      <xdr:rowOff>133349</xdr:rowOff>
    </xdr:from>
    <xdr:to>
      <xdr:col>3</xdr:col>
      <xdr:colOff>238124</xdr:colOff>
      <xdr:row>4</xdr:row>
      <xdr:rowOff>161924</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E50E6A8-811C-85DC-D330-446E7ED710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57349" y="514349"/>
          <a:ext cx="409575" cy="409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1</xdr:row>
      <xdr:rowOff>171449</xdr:rowOff>
    </xdr:from>
    <xdr:to>
      <xdr:col>16</xdr:col>
      <xdr:colOff>323444</xdr:colOff>
      <xdr:row>25</xdr:row>
      <xdr:rowOff>104774</xdr:rowOff>
    </xdr:to>
    <xdr:graphicFrame macro="">
      <xdr:nvGraphicFramePr>
        <xdr:cNvPr id="2" name="Chart 1">
          <a:extLst>
            <a:ext uri="{FF2B5EF4-FFF2-40B4-BE49-F238E27FC236}">
              <a16:creationId xmlns:a16="http://schemas.microsoft.com/office/drawing/2014/main" id="{B6A21617-D313-4D9B-9349-159FAB20F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495300</xdr:colOff>
      <xdr:row>2</xdr:row>
      <xdr:rowOff>0</xdr:rowOff>
    </xdr:from>
    <xdr:to>
      <xdr:col>3</xdr:col>
      <xdr:colOff>323850</xdr:colOff>
      <xdr:row>4</xdr:row>
      <xdr:rowOff>57150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D7646CD-D0EB-1C85-8506-6696CE456AD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14500" y="381000"/>
          <a:ext cx="438150"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333375</xdr:colOff>
      <xdr:row>0</xdr:row>
      <xdr:rowOff>47625</xdr:rowOff>
    </xdr:from>
    <xdr:to>
      <xdr:col>17</xdr:col>
      <xdr:colOff>11525</xdr:colOff>
      <xdr:row>27</xdr:row>
      <xdr:rowOff>171449</xdr:rowOff>
    </xdr:to>
    <xdr:graphicFrame macro="">
      <xdr:nvGraphicFramePr>
        <xdr:cNvPr id="2" name="Chart 1">
          <a:extLst>
            <a:ext uri="{FF2B5EF4-FFF2-40B4-BE49-F238E27FC236}">
              <a16:creationId xmlns:a16="http://schemas.microsoft.com/office/drawing/2014/main" id="{8259364A-025B-4C36-B317-E689F65793D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57150</xdr:colOff>
      <xdr:row>1</xdr:row>
      <xdr:rowOff>0</xdr:rowOff>
    </xdr:from>
    <xdr:to>
      <xdr:col>2</xdr:col>
      <xdr:colOff>0</xdr:colOff>
      <xdr:row>3</xdr:row>
      <xdr:rowOff>171450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B8F60DFB-D554-80B8-A487-7276DB7763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6750" y="190500"/>
          <a:ext cx="552450" cy="552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581024</xdr:colOff>
      <xdr:row>5</xdr:row>
      <xdr:rowOff>89297</xdr:rowOff>
    </xdr:from>
    <xdr:to>
      <xdr:col>7</xdr:col>
      <xdr:colOff>179784</xdr:colOff>
      <xdr:row>8</xdr:row>
      <xdr:rowOff>65484</xdr:rowOff>
    </xdr:to>
    <xdr:graphicFrame macro="">
      <xdr:nvGraphicFramePr>
        <xdr:cNvPr id="2" name="Chart 1">
          <a:extLst>
            <a:ext uri="{FF2B5EF4-FFF2-40B4-BE49-F238E27FC236}">
              <a16:creationId xmlns:a16="http://schemas.microsoft.com/office/drawing/2014/main" id="{7D4F8222-BFB4-48E6-A0A5-A61549A17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4490744" backgroundQuery="1" createdVersion="8" refreshedVersion="8" minRefreshableVersion="3" recordCount="0" supportSubquery="1" supportAdvancedDrill="1" xr:uid="{F4DF33B6-FAFB-431B-9EF8-DD3BF5A5C9DB}">
  <cacheSource type="external" connectionId="3"/>
  <cacheFields count="3">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2">
        <s v="2023"/>
        <s v="2024"/>
      </sharedItems>
    </cacheField>
    <cacheField name="[Measures].[Count of Date]" caption="Count of Date" numFmtId="0" hierarchy="29" level="32767"/>
  </cacheFields>
  <cacheHierarchies count="37">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4953706" backgroundQuery="1" createdVersion="8" refreshedVersion="8" minRefreshableVersion="3" recordCount="0" supportSubquery="1" supportAdvancedDrill="1" xr:uid="{C9E5E187-59B0-4282-9E72-2796DF8556B0}">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5416668" backgroundQuery="1" createdVersion="8" refreshedVersion="8" minRefreshableVersion="3" recordCount="0" supportSubquery="1" supportAdvancedDrill="1" xr:uid="{FC9C4887-EDA5-4F30-9BAE-5F59533222D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5763891" backgroundQuery="1" createdVersion="8" refreshedVersion="8" minRefreshableVersion="3" recordCount="0" supportSubquery="1" supportAdvancedDrill="1" xr:uid="{F9B5BD9B-B3C0-4A69-A5C3-7855014DBE7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5995368" backgroundQuery="1" createdVersion="8" refreshedVersion="8" minRefreshableVersion="3" recordCount="0" supportSubquery="1" supportAdvancedDrill="1" xr:uid="{DB42E33F-2EA6-48D4-8302-F3FCA8477D54}">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6111114" backgroundQuery="1" createdVersion="8" refreshedVersion="8" minRefreshableVersion="3" recordCount="0" supportSubquery="1" supportAdvancedDrill="1" xr:uid="{A4DED770-A010-4EEA-9980-9F0B82D322AF}">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6342591" backgroundQuery="1" createdVersion="8" refreshedVersion="8" minRefreshableVersion="3" recordCount="0" supportSubquery="1" supportAdvancedDrill="1" xr:uid="{FAD5FDBA-2669-44CD-A590-3D7EA4AE202D}">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6689815" backgroundQuery="1" createdVersion="8" refreshedVersion="8" minRefreshableVersion="3" recordCount="0" supportSubquery="1" supportAdvancedDrill="1" xr:uid="{68B8D7CC-4CEB-4DEF-A10C-EA8FF588061E}">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7268515" backgroundQuery="1" createdVersion="8" refreshedVersion="8" minRefreshableVersion="3" recordCount="0" supportSubquery="1" supportAdvancedDrill="1" xr:uid="{72281707-80BB-4354-9791-7B6E67F645D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7731484" backgroundQuery="1" createdVersion="8" refreshedVersion="8" minRefreshableVersion="3" recordCount="0" supportSubquery="1" supportAdvancedDrill="1" xr:uid="{9D4D6BD3-31E8-48ED-9BA0-E8034E4650B3}">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80787" backgroundQuery="1" createdVersion="8" refreshedVersion="8" minRefreshableVersion="3" recordCount="0" supportSubquery="1" supportAdvancedDrill="1" xr:uid="{043989F3-6264-4729-81A6-D1BE5320FD94}">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9288854167" backgroundQuery="1" createdVersion="8" refreshedVersion="8" minRefreshableVersion="3" recordCount="0" supportSubquery="1" supportAdvancedDrill="1" xr:uid="{1CCD9EAC-31B7-46E0-BA2D-C243178AD239}">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25676041664" backgroundQuery="1" createdVersion="3" refreshedVersion="8" minRefreshableVersion="3" recordCount="0" supportSubquery="1" supportAdvancedDrill="1" xr:uid="{0AF0AB1E-68B2-445A-A412-903EA5E7FCFF}">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9612901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Y RevenueConsultant" refreshedDate="46017.760313657411" backgroundQuery="1" createdVersion="3" refreshedVersion="8" minRefreshableVersion="3" recordCount="0" supportSubquery="1" supportAdvancedDrill="1" xr:uid="{E98C1206-17CA-41D1-AB50-ED489A16ED56}">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Distinct Count of Age Group]" caption="Distinct 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098230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692944-51E6-44D0-8CC6-6E768B53D3F4}" name="PivotTable3" cacheId="211" applyNumberFormats="0" applyBorderFormats="0" applyFontFormats="0" applyPatternFormats="0" applyAlignmentFormats="0" applyWidthHeightFormats="1" dataCaption="Values" tag="772efada-a76c-45ff-b3a3-089e8c3b372d" updatedVersion="8" minRefreshableVersion="3" subtotalHiddenItems="1" itemPrintTitles="1" createdVersion="8" indent="0" outline="1" outlineData="1" multipleFieldFilters="0" chartFormat="4">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8">
      <pivotArea outline="0" collapsedLevelsAreSubtotals="1" fieldPosition="0"/>
    </format>
  </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547685-62DF-43A1-B014-999EB9BCDCDD}" name="PivotTable7" cacheId="223" applyNumberFormats="0" applyBorderFormats="0" applyFontFormats="0" applyPatternFormats="0" applyAlignmentFormats="0" applyWidthHeightFormats="1" dataCaption="Values" tag="95eecc98-7709-476f-bcac-a698574ec0a0" updatedVersion="8" minRefreshableVersion="3" subtotalHiddenItems="1" itemPrintTitles="1" createdVersion="8" indent="0" outline="1" outlineData="1" multipleFieldFilters="0" chartFormat="23">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80">
      <pivotArea outline="0" collapsedLevelsAreSubtotals="1" fieldPosition="0"/>
    </format>
    <format dxfId="79">
      <pivotArea outline="0" fieldPosition="0">
        <references count="1">
          <reference field="4294967294" count="1">
            <x v="1"/>
          </reference>
        </references>
      </pivotArea>
    </format>
  </formats>
  <chartFormats count="4">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2" count="1" selected="0">
            <x v="0"/>
          </reference>
        </references>
      </pivotArea>
    </chartFormat>
    <chartFormat chart="14" format="10">
      <pivotArea type="data" outline="0" fieldPosition="0">
        <references count="2">
          <reference field="4294967294" count="1" selected="0">
            <x v="0"/>
          </reference>
          <reference field="2" count="1" selected="0">
            <x v="1"/>
          </reference>
        </references>
      </pivotArea>
    </chartFormat>
    <chartFormat chart="14" format="11"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D647D6-E516-4F1B-97F6-3B19C078605C}" name="PivotTable9" cacheId="229" applyNumberFormats="0" applyBorderFormats="0" applyFontFormats="0" applyPatternFormats="0" applyAlignmentFormats="0" applyWidthHeightFormats="1" dataCaption="Values" tag="6dd7dbb2-e719-479b-a462-781b17bb8a26" updatedVersion="8" minRefreshableVersion="3" subtotalHiddenItems="1" itemPrintTitles="1" createdVersion="8" indent="0" outline="1" outlineData="1" multipleFieldFilters="0" chartFormat="37">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81">
      <pivotArea outline="0" collapsedLevelsAreSubtotals="1" fieldPosition="0"/>
    </format>
  </formats>
  <chartFormats count="6">
    <chartFormat chart="26" format="1"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1" count="1" selected="0">
            <x v="0"/>
          </reference>
        </references>
      </pivotArea>
    </chartFormat>
    <chartFormat chart="29" format="7">
      <pivotArea type="data" outline="0" fieldPosition="0">
        <references count="2">
          <reference field="4294967294" count="1" selected="0">
            <x v="0"/>
          </reference>
          <reference field="1" count="1" selected="0">
            <x v="1"/>
          </reference>
        </references>
      </pivotArea>
    </chartFormat>
    <chartFormat chart="26" format="2">
      <pivotArea type="data" outline="0" fieldPosition="0">
        <references count="2">
          <reference field="4294967294" count="1" selected="0">
            <x v="0"/>
          </reference>
          <reference field="1" count="1" selected="0">
            <x v="0"/>
          </reference>
        </references>
      </pivotArea>
    </chartFormat>
    <chartFormat chart="26"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caption="Distinct Count of Age Group"/>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621EF9-F2DF-4218-B0BB-E58287A25E32}" name="PivotTable5" cacheId="217" applyNumberFormats="0" applyBorderFormats="0" applyFontFormats="0" applyPatternFormats="0" applyAlignmentFormats="0" applyWidthHeightFormats="1" dataCaption="Values" tag="96f0565c-2270-47f1-bfd6-866b2b2ea31d" updatedVersion="8" minRefreshableVersion="3" subtotalHiddenItems="1" itemPrintTitles="1" createdVersion="8" indent="0" outline="1" outlineData="1" multipleFieldFilters="0" chartFormat="25">
  <location ref="N8:O39"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83">
      <pivotArea collapsedLevelsAreSubtotals="1" fieldPosition="0">
        <references count="1">
          <reference field="0" count="0"/>
        </references>
      </pivotArea>
    </format>
    <format dxfId="82">
      <pivotArea grandRow="1" outline="0" collapsedLevelsAreSubtotals="1" fieldPosition="0"/>
    </format>
  </formats>
  <chartFormats count="3">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BF33E5-B981-40EE-8C42-882F3D970AA8}" name="PivotTable8" cacheId="226" applyNumberFormats="0" applyBorderFormats="0" applyFontFormats="0" applyPatternFormats="0" applyAlignmentFormats="0" applyWidthHeightFormats="1" dataCaption="Values" tag="70fb8b04-ad31-458e-becb-e4b14051488e" updatedVersion="8" minRefreshableVersion="3" subtotalHiddenItems="1" itemPrintTitles="1" createdVersion="8" indent="0" outline="1" outlineData="1" multipleFieldFilters="0" chartFormat="26">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0"/>
  </dataFields>
  <formats count="1">
    <format dxfId="84">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caption="Distinct Count of Age Group"/>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F04E16-AF8D-4F9D-A552-B3A75AEA43DC}" name="PivotTable2" cacheId="208" applyNumberFormats="0" applyBorderFormats="0" applyFontFormats="0" applyPatternFormats="0" applyAlignmentFormats="0" applyWidthHeightFormats="1" dataCaption="Values" tag="cad718aa-8d9e-41bd-af0d-59ae111fd267"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EE320D-F278-4F69-9BEA-E4C85FA34193}" name="PivotTable6" cacheId="220" applyNumberFormats="0" applyBorderFormats="0" applyFontFormats="0" applyPatternFormats="0" applyAlignmentFormats="0" applyWidthHeightFormats="1" dataCaption="Values" tag="20251ce4-470c-4805-872f-62ff9f627524" updatedVersion="8" minRefreshableVersion="3" subtotalHiddenItems="1" itemPrintTitles="1" createdVersion="8" indent="0" outline="1" outlineData="1" multipleFieldFilters="0" chartFormat="17">
  <location ref="J8:K39" firstHeaderRow="1" firstDataRow="1" firstDataCol="1"/>
  <pivotFields count="4">
    <pivotField dataField="1" subtotalTop="0" showAll="0" defaultSubtotal="0"/>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D65DFE-2F02-4876-9E1B-A3C8334B9FB7}" name="PivotTable12" cacheId="196" applyNumberFormats="0" applyBorderFormats="0" applyFontFormats="0" applyPatternFormats="0" applyAlignmentFormats="0" applyWidthHeightFormats="1" dataCaption="Values" tag="71f8b516-efd8-497f-ad4c-9b80b34ffd53" updatedVersion="8" minRefreshableVersion="3" subtotalHiddenItems="1" itemPrintTitles="1" createdVersion="8" indent="0" outline="1" outlineData="1" multipleFieldFilters="0" chartFormat="50">
  <location ref="A99:B10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Date" fld="2" subtotal="count" baseField="0" baseItem="0"/>
  </dataFields>
  <formats count="1">
    <format dxfId="85">
      <pivotArea outline="0" collapsedLevelsAreSubtotals="1" fieldPosition="0"/>
    </format>
  </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caption="Distinct Count of Age Group"/>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EDA766-88C7-4F2B-955E-A8F21B46A418}" name="PivotTable11" cacheId="205" applyNumberFormats="0" applyBorderFormats="0" applyFontFormats="0" applyPatternFormats="0" applyAlignmentFormats="0" applyWidthHeightFormats="1" dataCaption="Values" tag="4a30f63c-f705-4263-bf81-6c2f61530908" updatedVersion="8" minRefreshableVersion="3" subtotalHiddenItems="1" itemPrintTitles="1" createdVersion="8" indent="0" outline="1" outlineData="1" multipleFieldFilters="0" chartFormat="50">
  <location ref="A85:B9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1">
    <format dxfId="86">
      <pivotArea outline="0" collapsedLevelsAreSubtotals="1" fieldPosition="0"/>
    </format>
  </formats>
  <chartFormats count="2">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caption="Distinct Count of Age Group"/>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204ABB-ED19-4E00-AADE-515661B8618C}" name="PivotTable1" cacheId="199" applyNumberFormats="0" applyBorderFormats="0" applyFontFormats="0" applyPatternFormats="0" applyAlignmentFormats="0" applyWidthHeightFormats="1" dataCaption="Values" tag="7ec1d25d-ec0c-42bb-980f-a395abc76d0e" updatedVersion="8" minRefreshableVersion="3" subtotalHiddenItems="1" itemPrintTitles="1" createdVersion="8" indent="0" outline="1" outlineData="1" multipleFieldFilters="0" chartFormat="22">
  <location ref="F9:G40"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 Time" fld="2" subtotal="average" baseField="0" baseItem="0"/>
  </dataFields>
  <formats count="2">
    <format dxfId="88">
      <pivotArea collapsedLevelsAreSubtotals="1" fieldPosition="0">
        <references count="1">
          <reference field="0" count="0"/>
        </references>
      </pivotArea>
    </format>
    <format dxfId="87">
      <pivotArea grandRow="1" outline="0" collapsedLevelsAreSubtotals="1" fieldPosition="0"/>
    </format>
  </formats>
  <chartFormats count="4">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947835-4598-4439-90E8-F2CC151E105F}" name="PivotTable4" cacheId="214" applyNumberFormats="0" applyBorderFormats="0" applyFontFormats="0" applyPatternFormats="0" applyAlignmentFormats="0" applyWidthHeightFormats="1" dataCaption="Values" tag="c09f3f9a-60a8-4737-a8f0-483818e676ef" updatedVersion="8" minRefreshableVersion="3" subtotalHiddenItems="1" itemPrintTitles="1" createdVersion="8"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9">
      <pivotArea outline="0" collapsedLevelsAreSubtotals="1" fieldPosition="0"/>
    </format>
  </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E5AA3A-1B64-4D1D-8071-6E062D234303}" name="PivotTable10" cacheId="202" applyNumberFormats="0" applyBorderFormats="0" applyFontFormats="0" applyPatternFormats="0" applyAlignmentFormats="0" applyWidthHeightFormats="1" dataCaption="Values" tag="bc1a696e-8d3a-4a0c-a7b0-482c3846ea6e" updatedVersion="8" minRefreshableVersion="3" subtotalHiddenItems="1" itemPrintTitles="1" createdVersion="8" indent="0" outline="1" outlineData="1" multipleFieldFilters="0" chartFormat="46">
  <location ref="A76:B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90">
      <pivotArea outline="0" collapsedLevelsAreSubtotals="1" fieldPosition="0"/>
    </format>
  </formats>
  <chartFormats count="6">
    <chartFormat chart="34" format="0"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1" count="1" selected="0">
            <x v="0"/>
          </reference>
        </references>
      </pivotArea>
    </chartFormat>
    <chartFormat chart="37" format="6">
      <pivotArea type="data" outline="0" fieldPosition="0">
        <references count="2">
          <reference field="4294967294" count="1" selected="0">
            <x v="0"/>
          </reference>
          <reference field="1" count="1" selected="0">
            <x v="1"/>
          </reference>
        </references>
      </pivotArea>
    </chartFormat>
    <chartFormat chart="34" format="1">
      <pivotArea type="data" outline="0" fieldPosition="0">
        <references count="2">
          <reference field="4294967294" count="1" selected="0">
            <x v="0"/>
          </reference>
          <reference field="1" count="1" selected="0">
            <x v="0"/>
          </reference>
        </references>
      </pivotArea>
    </chartFormat>
    <chartFormat chart="34" format="2">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Age Group"/>
    <pivotHierarchy dragToData="1" caption="Distinct Count of Age Group"/>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5CCB9F6-2913-43F2-A0FA-E2E50BFC0EF6}" sourceName="[Calendar_Table].[Date (Month)]">
  <pivotTables>
    <pivotTable tabId="1" name="PivotTable6"/>
    <pivotTable tabId="1" name="PivotTable2"/>
    <pivotTable tabId="1" name="PivotTable3"/>
    <pivotTable tabId="1" name="PivotTable4"/>
    <pivotTable tabId="1" name="PivotTable1"/>
    <pivotTable tabId="1" name="PivotTable5"/>
    <pivotTable tabId="1" name="PivotTable7"/>
    <pivotTable tabId="1" name="PivotTable8"/>
    <pivotTable tabId="1" name="PivotTable9"/>
    <pivotTable tabId="1" name="PivotTable10"/>
    <pivotTable tabId="1" name="PivotTable11"/>
    <pivotTable tabId="1" name="PivotTable12"/>
  </pivotTables>
  <data>
    <olap pivotCacheId="29612901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BF6D2CB-857E-464C-B6E2-1760D5E8AAA8}"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0982302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FEA542E-2FE1-4DB5-BCFE-F01D9196BD97}" cache="Slicer_Date__Month" caption="Date (Month)" showCaption="0" level="1" style="mystyle" rowHeight="216000"/>
  <slicer name="Date (Year) 1" xr10:uid="{E1C04ADD-D1C1-4E97-80FD-959C0918B79F}" cache="Slicer_Date__Year" caption="Date (Year)" columnCount="2" showCaption="0" level="1" style="mystyle"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6ABE711-C599-4D9A-B532-B7225F298FD8}" cache="Slicer_Date__Month" caption="Date (Month)" showCaption="0" level="1" rowHeight="257175"/>
  <slicer name="Date (Year)" xr10:uid="{6C0ECD6B-3F9A-4DA6-94B7-48BABEFB09CB}" cache="Slicer_Date__Year" caption="Date (Year)" columnCount="2" showCaption="0" level="1"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3585-5147-47F6-B6D5-A00838B91530}">
  <dimension ref="A1"/>
  <sheetViews>
    <sheetView showGridLines="0" tabSelected="1" topLeftCell="A2" zoomScale="160" zoomScaleNormal="160" workbookViewId="0">
      <selection activeCell="P8" sqref="P8"/>
    </sheetView>
  </sheetViews>
  <sheetFormatPr defaultRowHeight="15" x14ac:dyDescent="0.25"/>
  <cols>
    <col min="1" max="16384" width="9.14062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596F0-9F90-4205-BF13-FA937AAFFD12}">
  <dimension ref="A3:O102"/>
  <sheetViews>
    <sheetView showGridLines="0" topLeftCell="A73" zoomScale="110" zoomScaleNormal="110" workbookViewId="0">
      <selection activeCell="E96" sqref="E96"/>
    </sheetView>
  </sheetViews>
  <sheetFormatPr defaultRowHeight="15" x14ac:dyDescent="0.25"/>
  <cols>
    <col min="1" max="1" width="34.85546875" bestFit="1" customWidth="1"/>
    <col min="2" max="2" width="30.28515625" bestFit="1" customWidth="1"/>
    <col min="3" max="3" width="31.28515625" bestFit="1" customWidth="1"/>
    <col min="4" max="4" width="11.7109375" customWidth="1"/>
    <col min="5" max="5" width="16.140625" customWidth="1"/>
    <col min="6" max="6" width="13.42578125" bestFit="1" customWidth="1"/>
    <col min="7" max="7" width="27.28515625" bestFit="1" customWidth="1"/>
    <col min="10" max="11" width="26" bestFit="1" customWidth="1"/>
    <col min="14" max="14" width="13.42578125" bestFit="1" customWidth="1"/>
    <col min="15" max="15" width="34.85546875" bestFit="1" customWidth="1"/>
  </cols>
  <sheetData>
    <row r="3" spans="1:15" x14ac:dyDescent="0.25">
      <c r="A3" t="s">
        <v>1</v>
      </c>
    </row>
    <row r="4" spans="1:15" x14ac:dyDescent="0.25">
      <c r="A4" t="s">
        <v>0</v>
      </c>
    </row>
    <row r="5" spans="1:15" x14ac:dyDescent="0.25">
      <c r="A5" s="21">
        <v>991</v>
      </c>
    </row>
    <row r="7" spans="1:15" x14ac:dyDescent="0.25">
      <c r="J7" s="5" t="s">
        <v>7</v>
      </c>
    </row>
    <row r="8" spans="1:15" x14ac:dyDescent="0.25">
      <c r="F8" t="s">
        <v>8</v>
      </c>
      <c r="J8" s="1" t="s">
        <v>4</v>
      </c>
      <c r="K8" t="s">
        <v>0</v>
      </c>
      <c r="N8" s="1" t="s">
        <v>4</v>
      </c>
      <c r="O8" t="s">
        <v>3</v>
      </c>
    </row>
    <row r="9" spans="1:15" x14ac:dyDescent="0.25">
      <c r="F9" s="1" t="s">
        <v>4</v>
      </c>
      <c r="G9" t="s">
        <v>9</v>
      </c>
      <c r="J9" s="3" t="s">
        <v>47</v>
      </c>
      <c r="K9" s="21">
        <v>43</v>
      </c>
      <c r="N9" s="3" t="s">
        <v>47</v>
      </c>
      <c r="O9" s="2">
        <v>4.7777777777777777</v>
      </c>
    </row>
    <row r="10" spans="1:15" x14ac:dyDescent="0.25">
      <c r="A10" t="s">
        <v>2</v>
      </c>
      <c r="F10" s="3" t="s">
        <v>47</v>
      </c>
      <c r="G10" s="2">
        <v>34.279069767441861</v>
      </c>
      <c r="J10" s="3" t="s">
        <v>48</v>
      </c>
      <c r="K10" s="21">
        <v>27</v>
      </c>
      <c r="N10" s="3" t="s">
        <v>48</v>
      </c>
      <c r="O10" s="2">
        <v>5.2727272727272725</v>
      </c>
    </row>
    <row r="11" spans="1:15" x14ac:dyDescent="0.25">
      <c r="A11" s="2">
        <v>35.544904137235115</v>
      </c>
      <c r="F11" s="3" t="s">
        <v>48</v>
      </c>
      <c r="G11" s="2">
        <v>36.222222222222221</v>
      </c>
      <c r="J11" s="3" t="s">
        <v>49</v>
      </c>
      <c r="K11" s="21">
        <v>42</v>
      </c>
      <c r="N11" s="3" t="s">
        <v>49</v>
      </c>
      <c r="O11" s="2">
        <v>4.2727272727272725</v>
      </c>
    </row>
    <row r="12" spans="1:15" x14ac:dyDescent="0.25">
      <c r="F12" s="3" t="s">
        <v>49</v>
      </c>
      <c r="G12" s="2">
        <v>35.904761904761905</v>
      </c>
      <c r="J12" s="3" t="s">
        <v>50</v>
      </c>
      <c r="K12" s="21">
        <v>32</v>
      </c>
      <c r="N12" s="3" t="s">
        <v>50</v>
      </c>
      <c r="O12" s="2">
        <v>5</v>
      </c>
    </row>
    <row r="13" spans="1:15" x14ac:dyDescent="0.25">
      <c r="F13" s="3" t="s">
        <v>50</v>
      </c>
      <c r="G13" s="2">
        <v>32.53125</v>
      </c>
      <c r="J13" s="3" t="s">
        <v>51</v>
      </c>
      <c r="K13" s="21">
        <v>32</v>
      </c>
      <c r="N13" s="3" t="s">
        <v>51</v>
      </c>
      <c r="O13" s="2">
        <v>4.3571428571428568</v>
      </c>
    </row>
    <row r="14" spans="1:15" x14ac:dyDescent="0.25">
      <c r="F14" s="3" t="s">
        <v>51</v>
      </c>
      <c r="G14" s="2">
        <v>33.84375</v>
      </c>
      <c r="J14" s="3" t="s">
        <v>52</v>
      </c>
      <c r="K14" s="21">
        <v>28</v>
      </c>
      <c r="N14" s="3" t="s">
        <v>52</v>
      </c>
      <c r="O14" s="2">
        <v>4.8571428571428568</v>
      </c>
    </row>
    <row r="15" spans="1:15" x14ac:dyDescent="0.25">
      <c r="A15" t="s">
        <v>3</v>
      </c>
      <c r="F15" s="3" t="s">
        <v>52</v>
      </c>
      <c r="G15" s="2">
        <v>35.214285714285715</v>
      </c>
      <c r="J15" s="3" t="s">
        <v>53</v>
      </c>
      <c r="K15" s="21">
        <v>32</v>
      </c>
      <c r="N15" s="3" t="s">
        <v>53</v>
      </c>
      <c r="O15" s="2">
        <v>5.125</v>
      </c>
    </row>
    <row r="16" spans="1:15" x14ac:dyDescent="0.25">
      <c r="A16" s="2">
        <v>4.947183098591549</v>
      </c>
      <c r="F16" s="3" t="s">
        <v>53</v>
      </c>
      <c r="G16" s="2">
        <v>37.21875</v>
      </c>
      <c r="J16" s="3" t="s">
        <v>54</v>
      </c>
      <c r="K16" s="21">
        <v>39</v>
      </c>
      <c r="N16" s="3" t="s">
        <v>54</v>
      </c>
      <c r="O16" s="2">
        <v>5</v>
      </c>
    </row>
    <row r="17" spans="6:15" x14ac:dyDescent="0.25">
      <c r="F17" s="3" t="s">
        <v>54</v>
      </c>
      <c r="G17" s="2">
        <v>36.871794871794869</v>
      </c>
      <c r="J17" s="3" t="s">
        <v>55</v>
      </c>
      <c r="K17" s="21">
        <v>40</v>
      </c>
      <c r="N17" s="3" t="s">
        <v>55</v>
      </c>
      <c r="O17" s="2">
        <v>5.2222222222222223</v>
      </c>
    </row>
    <row r="18" spans="6:15" x14ac:dyDescent="0.25">
      <c r="F18" s="3" t="s">
        <v>55</v>
      </c>
      <c r="G18" s="2">
        <v>36.450000000000003</v>
      </c>
      <c r="J18" s="3" t="s">
        <v>56</v>
      </c>
      <c r="K18" s="21">
        <v>31</v>
      </c>
      <c r="N18" s="3" t="s">
        <v>56</v>
      </c>
      <c r="O18" s="2">
        <v>4.2222222222222223</v>
      </c>
    </row>
    <row r="19" spans="6:15" x14ac:dyDescent="0.25">
      <c r="F19" s="3" t="s">
        <v>56</v>
      </c>
      <c r="G19" s="2">
        <v>32.935483870967744</v>
      </c>
      <c r="J19" s="3" t="s">
        <v>57</v>
      </c>
      <c r="K19" s="21">
        <v>34</v>
      </c>
      <c r="N19" s="3" t="s">
        <v>57</v>
      </c>
      <c r="O19" s="2">
        <v>4.8571428571428568</v>
      </c>
    </row>
    <row r="20" spans="6:15" x14ac:dyDescent="0.25">
      <c r="F20" s="3" t="s">
        <v>57</v>
      </c>
      <c r="G20" s="2">
        <v>41.323529411764703</v>
      </c>
      <c r="J20" s="3" t="s">
        <v>58</v>
      </c>
      <c r="K20" s="21">
        <v>37</v>
      </c>
      <c r="N20" s="3" t="s">
        <v>58</v>
      </c>
      <c r="O20" s="2">
        <v>3.8888888888888888</v>
      </c>
    </row>
    <row r="21" spans="6:15" x14ac:dyDescent="0.25">
      <c r="F21" s="3" t="s">
        <v>58</v>
      </c>
      <c r="G21" s="2">
        <v>34.432432432432435</v>
      </c>
      <c r="J21" s="3" t="s">
        <v>59</v>
      </c>
      <c r="K21" s="21">
        <v>30</v>
      </c>
      <c r="N21" s="3" t="s">
        <v>59</v>
      </c>
      <c r="O21" s="2">
        <v>4</v>
      </c>
    </row>
    <row r="22" spans="6:15" x14ac:dyDescent="0.25">
      <c r="F22" s="3" t="s">
        <v>59</v>
      </c>
      <c r="G22" s="2">
        <v>36.966666666666669</v>
      </c>
      <c r="J22" s="3" t="s">
        <v>60</v>
      </c>
      <c r="K22" s="21">
        <v>25</v>
      </c>
      <c r="N22" s="3" t="s">
        <v>60</v>
      </c>
      <c r="O22" s="2">
        <v>5</v>
      </c>
    </row>
    <row r="23" spans="6:15" x14ac:dyDescent="0.25">
      <c r="F23" s="3" t="s">
        <v>60</v>
      </c>
      <c r="G23" s="2">
        <v>39.520000000000003</v>
      </c>
      <c r="J23" s="3" t="s">
        <v>61</v>
      </c>
      <c r="K23" s="21">
        <v>38</v>
      </c>
      <c r="N23" s="3" t="s">
        <v>61</v>
      </c>
      <c r="O23" s="2">
        <v>5.7777777777777777</v>
      </c>
    </row>
    <row r="24" spans="6:15" x14ac:dyDescent="0.25">
      <c r="F24" s="3" t="s">
        <v>61</v>
      </c>
      <c r="G24" s="2">
        <v>36.026315789473685</v>
      </c>
      <c r="J24" s="3" t="s">
        <v>62</v>
      </c>
      <c r="K24" s="21">
        <v>27</v>
      </c>
      <c r="N24" s="3" t="s">
        <v>62</v>
      </c>
      <c r="O24" s="2">
        <v>2.6</v>
      </c>
    </row>
    <row r="25" spans="6:15" x14ac:dyDescent="0.25">
      <c r="F25" s="3" t="s">
        <v>62</v>
      </c>
      <c r="G25" s="2">
        <v>32.370370370370374</v>
      </c>
      <c r="J25" s="3" t="s">
        <v>63</v>
      </c>
      <c r="K25" s="21">
        <v>37</v>
      </c>
      <c r="N25" s="3" t="s">
        <v>63</v>
      </c>
      <c r="O25" s="2">
        <v>6.5</v>
      </c>
    </row>
    <row r="26" spans="6:15" x14ac:dyDescent="0.25">
      <c r="F26" s="3" t="s">
        <v>63</v>
      </c>
      <c r="G26" s="2">
        <v>33.243243243243242</v>
      </c>
      <c r="J26" s="3" t="s">
        <v>64</v>
      </c>
      <c r="K26" s="21">
        <v>33</v>
      </c>
      <c r="N26" s="3" t="s">
        <v>64</v>
      </c>
      <c r="O26" s="2">
        <v>3.8181818181818183</v>
      </c>
    </row>
    <row r="27" spans="6:15" x14ac:dyDescent="0.25">
      <c r="F27" s="3" t="s">
        <v>64</v>
      </c>
      <c r="G27" s="2">
        <v>33.575757575757578</v>
      </c>
      <c r="J27" s="3" t="s">
        <v>65</v>
      </c>
      <c r="K27" s="21">
        <v>23</v>
      </c>
      <c r="N27" s="3" t="s">
        <v>65</v>
      </c>
      <c r="O27" s="2">
        <v>4.4000000000000004</v>
      </c>
    </row>
    <row r="28" spans="6:15" x14ac:dyDescent="0.25">
      <c r="F28" s="3" t="s">
        <v>65</v>
      </c>
      <c r="G28" s="2">
        <v>31.130434782608695</v>
      </c>
      <c r="J28" s="3" t="s">
        <v>66</v>
      </c>
      <c r="K28" s="21">
        <v>27</v>
      </c>
      <c r="N28" s="3" t="s">
        <v>66</v>
      </c>
      <c r="O28" s="2">
        <v>4.5</v>
      </c>
    </row>
    <row r="29" spans="6:15" x14ac:dyDescent="0.25">
      <c r="F29" s="3" t="s">
        <v>66</v>
      </c>
      <c r="G29" s="2">
        <v>36.888888888888886</v>
      </c>
      <c r="J29" s="3" t="s">
        <v>67</v>
      </c>
      <c r="K29" s="21">
        <v>29</v>
      </c>
      <c r="N29" s="3" t="s">
        <v>67</v>
      </c>
      <c r="O29" s="2">
        <v>4.625</v>
      </c>
    </row>
    <row r="30" spans="6:15" x14ac:dyDescent="0.25">
      <c r="F30" s="3" t="s">
        <v>67</v>
      </c>
      <c r="G30" s="2">
        <v>29.862068965517242</v>
      </c>
      <c r="J30" s="3" t="s">
        <v>68</v>
      </c>
      <c r="K30" s="21">
        <v>38</v>
      </c>
      <c r="N30" s="3" t="s">
        <v>68</v>
      </c>
      <c r="O30" s="2">
        <v>4.5</v>
      </c>
    </row>
    <row r="31" spans="6:15" x14ac:dyDescent="0.25">
      <c r="F31" s="3" t="s">
        <v>68</v>
      </c>
      <c r="G31" s="2">
        <v>36.526315789473685</v>
      </c>
      <c r="J31" s="3" t="s">
        <v>69</v>
      </c>
      <c r="K31" s="21">
        <v>28</v>
      </c>
      <c r="N31" s="3" t="s">
        <v>69</v>
      </c>
      <c r="O31" s="2">
        <v>5.833333333333333</v>
      </c>
    </row>
    <row r="32" spans="6:15" x14ac:dyDescent="0.25">
      <c r="F32" s="3" t="s">
        <v>69</v>
      </c>
      <c r="G32" s="2">
        <v>34.571428571428569</v>
      </c>
      <c r="J32" s="3" t="s">
        <v>70</v>
      </c>
      <c r="K32" s="21">
        <v>36</v>
      </c>
      <c r="N32" s="3" t="s">
        <v>70</v>
      </c>
      <c r="O32" s="2">
        <v>4.666666666666667</v>
      </c>
    </row>
    <row r="33" spans="1:15" x14ac:dyDescent="0.25">
      <c r="F33" s="3" t="s">
        <v>70</v>
      </c>
      <c r="G33" s="2">
        <v>38.5</v>
      </c>
      <c r="J33" s="3" t="s">
        <v>71</v>
      </c>
      <c r="K33" s="21">
        <v>31</v>
      </c>
      <c r="N33" s="3" t="s">
        <v>71</v>
      </c>
      <c r="O33" s="2">
        <v>4.666666666666667</v>
      </c>
    </row>
    <row r="34" spans="1:15" x14ac:dyDescent="0.25">
      <c r="F34" s="3" t="s">
        <v>71</v>
      </c>
      <c r="G34" s="2">
        <v>37.12903225806452</v>
      </c>
      <c r="J34" s="3" t="s">
        <v>72</v>
      </c>
      <c r="K34" s="21">
        <v>34</v>
      </c>
      <c r="N34" s="3" t="s">
        <v>72</v>
      </c>
      <c r="O34" s="2">
        <v>6.75</v>
      </c>
    </row>
    <row r="35" spans="1:15" x14ac:dyDescent="0.25">
      <c r="F35" s="3" t="s">
        <v>72</v>
      </c>
      <c r="G35" s="2">
        <v>33.852941176470587</v>
      </c>
      <c r="J35" s="3" t="s">
        <v>73</v>
      </c>
      <c r="K35" s="21">
        <v>39</v>
      </c>
      <c r="N35" s="3" t="s">
        <v>73</v>
      </c>
      <c r="O35" s="2">
        <v>5.7</v>
      </c>
    </row>
    <row r="36" spans="1:15" x14ac:dyDescent="0.25">
      <c r="F36" s="3" t="s">
        <v>73</v>
      </c>
      <c r="G36" s="2">
        <v>37.230769230769234</v>
      </c>
      <c r="J36" s="3" t="s">
        <v>74</v>
      </c>
      <c r="K36" s="21">
        <v>40</v>
      </c>
      <c r="N36" s="3" t="s">
        <v>74</v>
      </c>
      <c r="O36" s="2">
        <v>5.5</v>
      </c>
    </row>
    <row r="37" spans="1:15" x14ac:dyDescent="0.25">
      <c r="F37" s="3" t="s">
        <v>74</v>
      </c>
      <c r="G37" s="2">
        <v>36.075000000000003</v>
      </c>
      <c r="J37" s="3" t="s">
        <v>75</v>
      </c>
      <c r="K37" s="21">
        <v>31</v>
      </c>
      <c r="N37" s="3" t="s">
        <v>75</v>
      </c>
      <c r="O37" s="2">
        <v>6.2222222222222223</v>
      </c>
    </row>
    <row r="38" spans="1:15" x14ac:dyDescent="0.25">
      <c r="F38" s="3" t="s">
        <v>75</v>
      </c>
      <c r="G38" s="2">
        <v>34.354838709677416</v>
      </c>
      <c r="J38" s="3" t="s">
        <v>76</v>
      </c>
      <c r="K38" s="21">
        <v>28</v>
      </c>
      <c r="N38" s="3" t="s">
        <v>76</v>
      </c>
      <c r="O38" s="2">
        <v>5.833333333333333</v>
      </c>
    </row>
    <row r="39" spans="1:15" x14ac:dyDescent="0.25">
      <c r="F39" s="3" t="s">
        <v>76</v>
      </c>
      <c r="G39" s="2">
        <v>39.571428571428569</v>
      </c>
      <c r="J39" s="3" t="s">
        <v>5</v>
      </c>
      <c r="K39" s="21">
        <v>991</v>
      </c>
      <c r="N39" s="3" t="s">
        <v>5</v>
      </c>
      <c r="O39" s="2">
        <v>4.947183098591549</v>
      </c>
    </row>
    <row r="40" spans="1:15" x14ac:dyDescent="0.25">
      <c r="F40" s="3" t="s">
        <v>5</v>
      </c>
      <c r="G40" s="2">
        <v>35.544904137235115</v>
      </c>
    </row>
    <row r="44" spans="1:15" x14ac:dyDescent="0.25">
      <c r="A44" s="1" t="s">
        <v>4</v>
      </c>
      <c r="B44" t="s">
        <v>12</v>
      </c>
      <c r="C44" t="s">
        <v>15</v>
      </c>
    </row>
    <row r="45" spans="1:15" x14ac:dyDescent="0.25">
      <c r="A45" s="3" t="s">
        <v>13</v>
      </c>
      <c r="B45" s="6">
        <v>487</v>
      </c>
      <c r="C45" s="7">
        <v>0.49142280524722504</v>
      </c>
    </row>
    <row r="46" spans="1:15" x14ac:dyDescent="0.25">
      <c r="A46" s="3" t="s">
        <v>14</v>
      </c>
      <c r="B46" s="6">
        <v>504</v>
      </c>
      <c r="C46" s="7">
        <v>0.50857719475277496</v>
      </c>
    </row>
    <row r="47" spans="1:15" x14ac:dyDescent="0.25">
      <c r="A47" s="3" t="s">
        <v>5</v>
      </c>
      <c r="B47" s="6">
        <v>991</v>
      </c>
      <c r="C47" s="7">
        <v>1</v>
      </c>
    </row>
    <row r="50" spans="1:5" x14ac:dyDescent="0.25">
      <c r="A50" s="12"/>
      <c r="B50" s="12"/>
      <c r="C50" s="12"/>
      <c r="D50" s="16"/>
      <c r="E50" s="16"/>
    </row>
    <row r="51" spans="1:5" x14ac:dyDescent="0.25">
      <c r="A51" s="13"/>
      <c r="B51" s="14"/>
      <c r="C51" s="15"/>
    </row>
    <row r="52" spans="1:5" x14ac:dyDescent="0.25">
      <c r="A52" s="1" t="s">
        <v>4</v>
      </c>
      <c r="B52" t="s">
        <v>19</v>
      </c>
    </row>
    <row r="53" spans="1:5" x14ac:dyDescent="0.25">
      <c r="A53" s="3" t="s">
        <v>27</v>
      </c>
      <c r="B53" s="6">
        <v>113</v>
      </c>
    </row>
    <row r="54" spans="1:5" x14ac:dyDescent="0.25">
      <c r="A54" s="3" t="s">
        <v>20</v>
      </c>
      <c r="B54" s="6">
        <v>127</v>
      </c>
    </row>
    <row r="55" spans="1:5" x14ac:dyDescent="0.25">
      <c r="A55" s="3" t="s">
        <v>21</v>
      </c>
      <c r="B55" s="6">
        <v>144</v>
      </c>
    </row>
    <row r="56" spans="1:5" x14ac:dyDescent="0.25">
      <c r="A56" s="3" t="s">
        <v>22</v>
      </c>
      <c r="B56" s="6">
        <v>126</v>
      </c>
    </row>
    <row r="57" spans="1:5" x14ac:dyDescent="0.25">
      <c r="A57" s="3" t="s">
        <v>23</v>
      </c>
      <c r="B57" s="6">
        <v>119</v>
      </c>
    </row>
    <row r="58" spans="1:5" x14ac:dyDescent="0.25">
      <c r="A58" s="3" t="s">
        <v>24</v>
      </c>
      <c r="B58" s="6">
        <v>109</v>
      </c>
    </row>
    <row r="59" spans="1:5" x14ac:dyDescent="0.25">
      <c r="A59" s="3" t="s">
        <v>25</v>
      </c>
      <c r="B59" s="6">
        <v>125</v>
      </c>
    </row>
    <row r="60" spans="1:5" x14ac:dyDescent="0.25">
      <c r="A60" s="3" t="s">
        <v>26</v>
      </c>
      <c r="B60" s="6">
        <v>128</v>
      </c>
    </row>
    <row r="61" spans="1:5" x14ac:dyDescent="0.25">
      <c r="A61" s="3" t="s">
        <v>5</v>
      </c>
      <c r="B61" s="6">
        <v>991</v>
      </c>
    </row>
    <row r="67" spans="1:2" x14ac:dyDescent="0.25">
      <c r="A67" s="1" t="s">
        <v>4</v>
      </c>
      <c r="B67" t="s">
        <v>30</v>
      </c>
    </row>
    <row r="68" spans="1:2" x14ac:dyDescent="0.25">
      <c r="A68" s="3" t="s">
        <v>28</v>
      </c>
      <c r="B68" s="6">
        <v>608</v>
      </c>
    </row>
    <row r="69" spans="1:2" x14ac:dyDescent="0.25">
      <c r="A69" s="3" t="s">
        <v>29</v>
      </c>
      <c r="B69" s="6">
        <v>383</v>
      </c>
    </row>
    <row r="70" spans="1:2" x14ac:dyDescent="0.25">
      <c r="A70" s="3" t="s">
        <v>5</v>
      </c>
      <c r="B70" s="6">
        <v>991</v>
      </c>
    </row>
    <row r="76" spans="1:2" x14ac:dyDescent="0.25">
      <c r="A76" s="1" t="s">
        <v>4</v>
      </c>
      <c r="B76" t="s">
        <v>31</v>
      </c>
    </row>
    <row r="77" spans="1:2" x14ac:dyDescent="0.25">
      <c r="A77" s="3" t="s">
        <v>32</v>
      </c>
      <c r="B77" s="6">
        <v>472</v>
      </c>
    </row>
    <row r="78" spans="1:2" x14ac:dyDescent="0.25">
      <c r="A78" s="3" t="s">
        <v>33</v>
      </c>
      <c r="B78" s="6">
        <v>519</v>
      </c>
    </row>
    <row r="79" spans="1:2" x14ac:dyDescent="0.25">
      <c r="A79" s="3" t="s">
        <v>5</v>
      </c>
      <c r="B79" s="6">
        <v>991</v>
      </c>
    </row>
    <row r="85" spans="1:2" x14ac:dyDescent="0.25">
      <c r="A85" s="1" t="s">
        <v>4</v>
      </c>
      <c r="B85" t="s">
        <v>42</v>
      </c>
    </row>
    <row r="86" spans="1:2" x14ac:dyDescent="0.25">
      <c r="A86" s="3" t="s">
        <v>41</v>
      </c>
      <c r="B86" s="6">
        <v>4</v>
      </c>
    </row>
    <row r="87" spans="1:2" x14ac:dyDescent="0.25">
      <c r="A87" s="3" t="s">
        <v>35</v>
      </c>
      <c r="B87" s="6">
        <v>23</v>
      </c>
    </row>
    <row r="88" spans="1:2" x14ac:dyDescent="0.25">
      <c r="A88" s="3" t="s">
        <v>34</v>
      </c>
      <c r="B88" s="6">
        <v>25</v>
      </c>
    </row>
    <row r="89" spans="1:2" x14ac:dyDescent="0.25">
      <c r="A89" s="3" t="s">
        <v>37</v>
      </c>
      <c r="B89" s="6">
        <v>27</v>
      </c>
    </row>
    <row r="90" spans="1:2" x14ac:dyDescent="0.25">
      <c r="A90" s="3" t="s">
        <v>40</v>
      </c>
      <c r="B90" s="6">
        <v>29</v>
      </c>
    </row>
    <row r="91" spans="1:2" x14ac:dyDescent="0.25">
      <c r="A91" s="3" t="s">
        <v>39</v>
      </c>
      <c r="B91" s="6">
        <v>113</v>
      </c>
    </row>
    <row r="92" spans="1:2" x14ac:dyDescent="0.25">
      <c r="A92" s="3" t="s">
        <v>36</v>
      </c>
      <c r="B92" s="6">
        <v>174</v>
      </c>
    </row>
    <row r="93" spans="1:2" x14ac:dyDescent="0.25">
      <c r="A93" s="3" t="s">
        <v>38</v>
      </c>
      <c r="B93" s="6">
        <v>596</v>
      </c>
    </row>
    <row r="94" spans="1:2" x14ac:dyDescent="0.25">
      <c r="A94" s="3" t="s">
        <v>5</v>
      </c>
      <c r="B94" s="6">
        <v>991</v>
      </c>
    </row>
    <row r="99" spans="1:2" x14ac:dyDescent="0.25">
      <c r="A99" s="1" t="s">
        <v>4</v>
      </c>
      <c r="B99" t="s">
        <v>45</v>
      </c>
    </row>
    <row r="100" spans="1:2" x14ac:dyDescent="0.25">
      <c r="A100" s="3" t="s">
        <v>43</v>
      </c>
      <c r="B100" s="6">
        <v>30</v>
      </c>
    </row>
    <row r="101" spans="1:2" x14ac:dyDescent="0.25">
      <c r="A101" s="3" t="s">
        <v>44</v>
      </c>
      <c r="B101" s="6">
        <v>30</v>
      </c>
    </row>
    <row r="102" spans="1:2" x14ac:dyDescent="0.25">
      <c r="A102" s="3" t="s">
        <v>5</v>
      </c>
      <c r="B102" s="6">
        <v>60</v>
      </c>
    </row>
  </sheetData>
  <mergeCells count="1">
    <mergeCell ref="D50:E50"/>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4F75-C8E1-4749-9F1E-DF45011712E0}">
  <dimension ref="C25:O25"/>
  <sheetViews>
    <sheetView showGridLines="0" workbookViewId="0">
      <selection activeCell="N28" sqref="N28"/>
    </sheetView>
  </sheetViews>
  <sheetFormatPr defaultRowHeight="15" x14ac:dyDescent="0.25"/>
  <sheetData>
    <row r="25" spans="3:15" x14ac:dyDescent="0.25">
      <c r="C25" s="17" t="s">
        <v>11</v>
      </c>
      <c r="D25" s="17"/>
      <c r="E25" s="17"/>
      <c r="F25" s="17"/>
      <c r="G25" s="17"/>
      <c r="H25" s="17"/>
      <c r="I25" s="17"/>
      <c r="J25" s="17"/>
      <c r="K25" s="17"/>
      <c r="L25" s="17"/>
      <c r="M25" s="17"/>
      <c r="N25" s="17"/>
      <c r="O25" s="17"/>
    </row>
  </sheetData>
  <mergeCells count="1">
    <mergeCell ref="C25:O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72279-5C5A-4130-9918-FE4E1E9DB50F}">
  <dimension ref="B28:Q28"/>
  <sheetViews>
    <sheetView showGridLines="0" workbookViewId="0"/>
  </sheetViews>
  <sheetFormatPr defaultRowHeight="15" x14ac:dyDescent="0.25"/>
  <sheetData>
    <row r="28" spans="2:17" ht="15.75" x14ac:dyDescent="0.25">
      <c r="B28" s="18" t="s">
        <v>10</v>
      </c>
      <c r="C28" s="18"/>
      <c r="D28" s="18"/>
      <c r="E28" s="18"/>
      <c r="F28" s="18"/>
      <c r="G28" s="18"/>
      <c r="H28" s="18"/>
      <c r="I28" s="18"/>
      <c r="J28" s="18"/>
      <c r="K28" s="18"/>
      <c r="L28" s="18"/>
      <c r="M28" s="18"/>
      <c r="N28" s="18"/>
      <c r="O28" s="18"/>
      <c r="P28" s="18"/>
      <c r="Q28" s="18"/>
    </row>
  </sheetData>
  <mergeCells count="1">
    <mergeCell ref="B28:Q2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9472F-D965-4E89-972E-F5B72D1B0554}">
  <dimension ref="C29:O29"/>
  <sheetViews>
    <sheetView showGridLines="0" workbookViewId="0"/>
  </sheetViews>
  <sheetFormatPr defaultRowHeight="15" x14ac:dyDescent="0.25"/>
  <sheetData>
    <row r="29" spans="3:15" ht="15.75" x14ac:dyDescent="0.25">
      <c r="C29" s="18" t="s">
        <v>6</v>
      </c>
      <c r="D29" s="19"/>
      <c r="E29" s="19"/>
      <c r="F29" s="19"/>
      <c r="G29" s="19"/>
      <c r="H29" s="19"/>
      <c r="I29" s="19"/>
      <c r="J29" s="19"/>
      <c r="K29" s="19"/>
      <c r="L29" s="19"/>
      <c r="M29" s="19"/>
      <c r="N29" s="19"/>
      <c r="O29" s="19"/>
    </row>
  </sheetData>
  <mergeCells count="1">
    <mergeCell ref="C29:O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044E6-46A6-47C9-996E-C8E860F70516}">
  <dimension ref="C6:H8"/>
  <sheetViews>
    <sheetView showGridLines="0" zoomScale="160" zoomScaleNormal="160" workbookViewId="0">
      <selection activeCell="G13" sqref="G13"/>
    </sheetView>
  </sheetViews>
  <sheetFormatPr defaultRowHeight="15" x14ac:dyDescent="0.25"/>
  <cols>
    <col min="3" max="3" width="17" bestFit="1" customWidth="1"/>
    <col min="4" max="4" width="6.5703125" bestFit="1" customWidth="1"/>
    <col min="8" max="8" width="2.42578125" customWidth="1"/>
  </cols>
  <sheetData>
    <row r="6" spans="3:8" x14ac:dyDescent="0.25">
      <c r="C6" s="8" t="s">
        <v>18</v>
      </c>
      <c r="D6" s="8" t="s">
        <v>16</v>
      </c>
      <c r="E6" s="8" t="s">
        <v>17</v>
      </c>
      <c r="F6" s="20" t="s">
        <v>46</v>
      </c>
      <c r="G6" s="20"/>
      <c r="H6" s="20"/>
    </row>
    <row r="7" spans="3:8" x14ac:dyDescent="0.25">
      <c r="C7" s="9" t="str">
        <f>PR!A46</f>
        <v>Not Admitted</v>
      </c>
      <c r="D7" s="10">
        <f>PR!B46</f>
        <v>504</v>
      </c>
      <c r="E7" s="11">
        <f>PR!C46</f>
        <v>0.50857719475277496</v>
      </c>
    </row>
    <row r="8" spans="3:8" x14ac:dyDescent="0.25">
      <c r="C8" s="9" t="str">
        <f>PR!A45</f>
        <v>Admitted</v>
      </c>
      <c r="D8" s="10">
        <f>PR!B45</f>
        <v>487</v>
      </c>
      <c r="E8" s="11">
        <f>PR!C45</f>
        <v>0.49142280524722504</v>
      </c>
    </row>
  </sheetData>
  <mergeCells count="1">
    <mergeCell ref="F6:H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9369A46-41D1-476D-9C2D-F923374BFC8E}">
  <ds:schemaRefs/>
</ds:datastoreItem>
</file>

<file path=customXml/itemProps2.xml><?xml version="1.0" encoding="utf-8"?>
<ds:datastoreItem xmlns:ds="http://schemas.openxmlformats.org/officeDocument/2006/customXml" ds:itemID="{CF96D45A-CEC2-49DB-BFD5-CAA26AA697E1}">
  <ds:schemaRefs/>
</ds:datastoreItem>
</file>

<file path=customXml/itemProps3.xml><?xml version="1.0" encoding="utf-8"?>
<ds:datastoreItem xmlns:ds="http://schemas.openxmlformats.org/officeDocument/2006/customXml" ds:itemID="{9ED513CC-90A8-4863-8F6F-6D3696902254}">
  <ds:schemaRefs/>
</ds:datastoreItem>
</file>

<file path=customXml/itemProps4.xml><?xml version="1.0" encoding="utf-8"?>
<ds:datastoreItem xmlns:ds="http://schemas.openxmlformats.org/officeDocument/2006/customXml" ds:itemID="{D3F8A6BF-5BF5-4AEB-818C-CDF897C922D7}">
  <ds:schemaRefs/>
</ds:datastoreItem>
</file>

<file path=customXml/itemProps5.xml><?xml version="1.0" encoding="utf-8"?>
<ds:datastoreItem xmlns:ds="http://schemas.openxmlformats.org/officeDocument/2006/customXml" ds:itemID="{1C5FCEF4-AC2A-4749-870C-E99302F03940}">
  <ds:schemaRefs>
    <ds:schemaRef ds:uri="http://schemas.microsoft.com/DataMashup"/>
  </ds:schemaRefs>
</ds:datastoreItem>
</file>

<file path=customXml/itemProps6.xml><?xml version="1.0" encoding="utf-8"?>
<ds:datastoreItem xmlns:ds="http://schemas.openxmlformats.org/officeDocument/2006/customXml" ds:itemID="{1697FDCD-02D1-459B-9116-B8AD82F70F00}">
  <ds:schemaRefs/>
</ds:datastoreItem>
</file>

<file path=customXml/itemProps7.xml><?xml version="1.0" encoding="utf-8"?>
<ds:datastoreItem xmlns:ds="http://schemas.openxmlformats.org/officeDocument/2006/customXml" ds:itemID="{ACBAB204-A7F1-40CF-9276-EF04297F47A3}">
  <ds:schemaRefs/>
</ds:datastoreItem>
</file>

<file path=customXml/itemProps8.xml><?xml version="1.0" encoding="utf-8"?>
<ds:datastoreItem xmlns:ds="http://schemas.openxmlformats.org/officeDocument/2006/customXml" ds:itemID="{0941D9D0-8462-4128-8B0A-F4A8F60C99DB}">
  <ds:schemaRefs/>
</ds:datastoreItem>
</file>

<file path=customXml/itemProps9.xml><?xml version="1.0" encoding="utf-8"?>
<ds:datastoreItem xmlns:ds="http://schemas.openxmlformats.org/officeDocument/2006/customXml" ds:itemID="{60526643-B7D0-4401-9F99-DB2C7B82E2DB}">
  <ds:schemaRefs/>
</ds:datastoreItem>
</file>

<file path=customXml/itemProps10.xml><?xml version="1.0" encoding="utf-8"?>
<ds:datastoreItem xmlns:ds="http://schemas.openxmlformats.org/officeDocument/2006/customXml" ds:itemID="{B4B0DF61-1177-47FB-A141-53DB5EDDA67B}">
  <ds:schemaRefs/>
</ds:datastoreItem>
</file>

<file path=customXml/itemProps11.xml><?xml version="1.0" encoding="utf-8"?>
<ds:datastoreItem xmlns:ds="http://schemas.openxmlformats.org/officeDocument/2006/customXml" ds:itemID="{FD0E5C89-548E-45CF-8503-AA1EE97B6C86}">
  <ds:schemaRefs/>
</ds:datastoreItem>
</file>

<file path=customXml/itemProps12.xml><?xml version="1.0" encoding="utf-8"?>
<ds:datastoreItem xmlns:ds="http://schemas.openxmlformats.org/officeDocument/2006/customXml" ds:itemID="{40A99A5A-BFB3-41BA-918F-D2B69B5176CC}">
  <ds:schemaRefs/>
</ds:datastoreItem>
</file>

<file path=customXml/itemProps13.xml><?xml version="1.0" encoding="utf-8"?>
<ds:datastoreItem xmlns:ds="http://schemas.openxmlformats.org/officeDocument/2006/customXml" ds:itemID="{B83B7613-392F-4ADE-9034-EBA0C5D2E9E5}">
  <ds:schemaRefs/>
</ds:datastoreItem>
</file>

<file path=customXml/itemProps14.xml><?xml version="1.0" encoding="utf-8"?>
<ds:datastoreItem xmlns:ds="http://schemas.openxmlformats.org/officeDocument/2006/customXml" ds:itemID="{61FC87B4-42EF-4C01-8402-9D39C3D9DA70}">
  <ds:schemaRefs/>
</ds:datastoreItem>
</file>

<file path=customXml/itemProps15.xml><?xml version="1.0" encoding="utf-8"?>
<ds:datastoreItem xmlns:ds="http://schemas.openxmlformats.org/officeDocument/2006/customXml" ds:itemID="{2E06AF02-9F99-48A8-98A0-06D056039B53}">
  <ds:schemaRefs/>
</ds:datastoreItem>
</file>

<file path=customXml/itemProps16.xml><?xml version="1.0" encoding="utf-8"?>
<ds:datastoreItem xmlns:ds="http://schemas.openxmlformats.org/officeDocument/2006/customXml" ds:itemID="{88B519F0-3186-4D3E-8E19-184454C15248}">
  <ds:schemaRefs/>
</ds:datastoreItem>
</file>

<file path=customXml/itemProps17.xml><?xml version="1.0" encoding="utf-8"?>
<ds:datastoreItem xmlns:ds="http://schemas.openxmlformats.org/officeDocument/2006/customXml" ds:itemID="{5C85CEEA-B8E8-4E70-B27D-C7AC65E40DF1}">
  <ds:schemaRefs/>
</ds:datastoreItem>
</file>

<file path=customXml/itemProps18.xml><?xml version="1.0" encoding="utf-8"?>
<ds:datastoreItem xmlns:ds="http://schemas.openxmlformats.org/officeDocument/2006/customXml" ds:itemID="{D00A2F45-CD88-4905-B2E8-F323D98E7D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vt:lpstr>
      <vt:lpstr>Satisfaction Daily Score</vt:lpstr>
      <vt:lpstr>Patient Wait Time</vt:lpstr>
      <vt:lpstr>Daily Report of Patient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UY RevenueConsultant</dc:creator>
  <cp:lastModifiedBy>UY RevenueConsultant</cp:lastModifiedBy>
  <dcterms:created xsi:type="dcterms:W3CDTF">2025-12-25T09:05:49Z</dcterms:created>
  <dcterms:modified xsi:type="dcterms:W3CDTF">2025-12-26T14:02:07Z</dcterms:modified>
</cp:coreProperties>
</file>